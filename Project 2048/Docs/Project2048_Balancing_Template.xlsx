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2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3.xml" ContentType="application/vnd.openxmlformats-officedocument.drawingml.chart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ana\Documents\GitHub\Team6-Project\Project 2048\Docs\"/>
    </mc:Choice>
  </mc:AlternateContent>
  <xr:revisionPtr revIDLastSave="0" documentId="8_{5D0996C0-E1A1-4F40-A2FE-97BD874435C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shboard" sheetId="1" r:id="rId1"/>
    <sheet name="Inputs" sheetId="2" r:id="rId2"/>
    <sheet name="TileCost" sheetId="3" r:id="rId3"/>
    <sheet name="Skills" sheetId="4" r:id="rId4"/>
    <sheet name="Enemies" sheetId="5" r:id="rId5"/>
    <sheet name="CombatSim" sheetId="6" r:id="rId6"/>
    <sheet name="RewardsScore" sheetId="7" r:id="rId7"/>
    <sheet name="DevHandoff" sheetId="8" r:id="rId8"/>
    <sheet name="Lists" sheetId="9" r:id="rId9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7" l="1"/>
  <c r="F31" i="7"/>
  <c r="F30" i="7"/>
  <c r="L24" i="6"/>
  <c r="H24" i="6"/>
  <c r="L23" i="6"/>
  <c r="H23" i="6"/>
  <c r="L22" i="6"/>
  <c r="H22" i="6"/>
  <c r="L21" i="6"/>
  <c r="H21" i="6"/>
  <c r="L20" i="6"/>
  <c r="H20" i="6"/>
  <c r="L19" i="6"/>
  <c r="H19" i="6"/>
  <c r="L18" i="6"/>
  <c r="H18" i="6"/>
  <c r="L17" i="6"/>
  <c r="H17" i="6"/>
  <c r="L16" i="6"/>
  <c r="H16" i="6"/>
  <c r="L15" i="6"/>
  <c r="H15" i="6"/>
  <c r="L14" i="6"/>
  <c r="H14" i="6"/>
  <c r="L13" i="6"/>
  <c r="H13" i="6"/>
  <c r="L12" i="6"/>
  <c r="H12" i="6"/>
  <c r="L11" i="6"/>
  <c r="H11" i="6"/>
  <c r="L10" i="6"/>
  <c r="H10" i="6"/>
  <c r="L9" i="6"/>
  <c r="H9" i="6"/>
  <c r="L8" i="6"/>
  <c r="H8" i="6"/>
  <c r="L7" i="6"/>
  <c r="H7" i="6"/>
  <c r="L6" i="6"/>
  <c r="H6" i="6"/>
  <c r="L5" i="6"/>
  <c r="H5" i="6"/>
  <c r="U16" i="5"/>
  <c r="S16" i="5"/>
  <c r="U15" i="5"/>
  <c r="S15" i="5"/>
  <c r="U14" i="5"/>
  <c r="S14" i="5"/>
  <c r="U13" i="5"/>
  <c r="S13" i="5"/>
  <c r="U12" i="5"/>
  <c r="S12" i="5"/>
  <c r="U11" i="5"/>
  <c r="S11" i="5"/>
  <c r="U10" i="5"/>
  <c r="S10" i="5"/>
  <c r="U9" i="5"/>
  <c r="S9" i="5"/>
  <c r="U8" i="5"/>
  <c r="S8" i="5"/>
  <c r="U7" i="5"/>
  <c r="S7" i="5"/>
  <c r="U6" i="5"/>
  <c r="S6" i="5"/>
  <c r="U5" i="5"/>
  <c r="S5" i="5"/>
  <c r="L45" i="4"/>
  <c r="J45" i="4"/>
  <c r="L44" i="4"/>
  <c r="J44" i="4"/>
  <c r="L43" i="4"/>
  <c r="J43" i="4"/>
  <c r="L42" i="4"/>
  <c r="J42" i="4"/>
  <c r="L41" i="4"/>
  <c r="J41" i="4"/>
  <c r="J40" i="4"/>
  <c r="J39" i="4"/>
  <c r="J38" i="4"/>
  <c r="J37" i="4"/>
  <c r="J36" i="4"/>
  <c r="L35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B26" i="2"/>
  <c r="B28" i="1"/>
  <c r="B27" i="1"/>
  <c r="B26" i="1"/>
  <c r="B25" i="1"/>
  <c r="B24" i="1"/>
  <c r="B23" i="1"/>
  <c r="B22" i="1"/>
  <c r="B21" i="1"/>
  <c r="B20" i="1"/>
  <c r="B19" i="1"/>
  <c r="B18" i="1"/>
  <c r="B17" i="1"/>
  <c r="H12" i="1"/>
  <c r="E12" i="1"/>
  <c r="H11" i="1"/>
  <c r="E11" i="1"/>
  <c r="H10" i="1"/>
  <c r="B10" i="1"/>
  <c r="H9" i="1"/>
  <c r="E7" i="1"/>
  <c r="E6" i="1"/>
  <c r="B6" i="1"/>
  <c r="H5" i="1"/>
  <c r="E5" i="1"/>
  <c r="I24" i="6" l="1"/>
  <c r="I23" i="6"/>
  <c r="I22" i="6"/>
  <c r="I21" i="6"/>
  <c r="I20" i="6"/>
  <c r="I14" i="6"/>
  <c r="J13" i="6"/>
  <c r="I13" i="6"/>
  <c r="I12" i="6"/>
  <c r="I11" i="6"/>
  <c r="I9" i="6"/>
  <c r="I8" i="6"/>
  <c r="L8" i="4"/>
  <c r="I19" i="6"/>
  <c r="I18" i="6"/>
  <c r="J17" i="6"/>
  <c r="I17" i="6"/>
  <c r="I16" i="6"/>
  <c r="I15" i="6"/>
  <c r="L20" i="4"/>
  <c r="L19" i="4"/>
  <c r="J12" i="6"/>
  <c r="I10" i="6"/>
  <c r="L18" i="4"/>
  <c r="L15" i="4"/>
  <c r="L14" i="4"/>
  <c r="L11" i="4"/>
  <c r="L9" i="4"/>
  <c r="L7" i="4"/>
  <c r="L5" i="4"/>
  <c r="I7" i="6"/>
  <c r="I6" i="6"/>
  <c r="I5" i="6"/>
  <c r="Y16" i="5"/>
  <c r="W16" i="5"/>
  <c r="V16" i="5"/>
  <c r="X16" i="5" s="1"/>
  <c r="T16" i="5"/>
  <c r="Y15" i="5"/>
  <c r="W15" i="5"/>
  <c r="V15" i="5"/>
  <c r="X15" i="5" s="1"/>
  <c r="T15" i="5"/>
  <c r="Y14" i="5"/>
  <c r="W14" i="5"/>
  <c r="V14" i="5"/>
  <c r="X14" i="5" s="1"/>
  <c r="T14" i="5"/>
  <c r="Y13" i="5"/>
  <c r="W12" i="5"/>
  <c r="V12" i="5"/>
  <c r="X12" i="5" s="1"/>
  <c r="T12" i="5"/>
  <c r="Y11" i="5"/>
  <c r="W11" i="5"/>
  <c r="V11" i="5"/>
  <c r="X11" i="5" s="1"/>
  <c r="T11" i="5"/>
  <c r="Y10" i="5"/>
  <c r="W10" i="5"/>
  <c r="V10" i="5"/>
  <c r="X10" i="5" s="1"/>
  <c r="T10" i="5"/>
  <c r="Y9" i="5"/>
  <c r="W9" i="5"/>
  <c r="V9" i="5"/>
  <c r="X9" i="5" s="1"/>
  <c r="T9" i="5"/>
  <c r="Y8" i="5"/>
  <c r="W8" i="5"/>
  <c r="V8" i="5"/>
  <c r="X8" i="5" s="1"/>
  <c r="T8" i="5"/>
  <c r="Y7" i="5"/>
  <c r="W7" i="5"/>
  <c r="V7" i="5"/>
  <c r="X7" i="5" s="1"/>
  <c r="T7" i="5"/>
  <c r="W13" i="5"/>
  <c r="V13" i="5"/>
  <c r="X13" i="5" s="1"/>
  <c r="T13" i="5"/>
  <c r="Y12" i="5"/>
  <c r="L33" i="4"/>
  <c r="L32" i="4"/>
  <c r="L29" i="4"/>
  <c r="L28" i="4"/>
  <c r="L21" i="4"/>
  <c r="Y6" i="5"/>
  <c r="W6" i="5"/>
  <c r="V6" i="5"/>
  <c r="X6" i="5" s="1"/>
  <c r="T6" i="5"/>
  <c r="Y5" i="5"/>
  <c r="H8" i="1" s="1"/>
  <c r="W5" i="5"/>
  <c r="V5" i="5"/>
  <c r="X5" i="5" s="1"/>
  <c r="T5" i="5"/>
  <c r="L40" i="4"/>
  <c r="L39" i="4"/>
  <c r="L38" i="4"/>
  <c r="L37" i="4"/>
  <c r="L36" i="4"/>
  <c r="L34" i="4"/>
  <c r="L31" i="4"/>
  <c r="L30" i="4"/>
  <c r="L22" i="4"/>
  <c r="L27" i="4"/>
  <c r="L26" i="4"/>
  <c r="L25" i="4"/>
  <c r="L24" i="4"/>
  <c r="L23" i="4"/>
  <c r="L17" i="4"/>
  <c r="L16" i="4"/>
  <c r="L13" i="4"/>
  <c r="L12" i="4"/>
  <c r="L10" i="4"/>
  <c r="L6" i="4"/>
  <c r="B27" i="2"/>
  <c r="E8" i="1" s="1"/>
  <c r="E10" i="1"/>
  <c r="E9" i="1"/>
  <c r="Z16" i="5" l="1"/>
  <c r="O16" i="6" s="1"/>
  <c r="K16" i="6"/>
  <c r="M16" i="6" s="1"/>
  <c r="N16" i="6" s="1"/>
  <c r="Z15" i="5"/>
  <c r="O15" i="6" s="1"/>
  <c r="K15" i="6"/>
  <c r="M15" i="6" s="1"/>
  <c r="N15" i="6" s="1"/>
  <c r="Z14" i="5"/>
  <c r="O14" i="6" s="1"/>
  <c r="K14" i="6"/>
  <c r="M14" i="6" s="1"/>
  <c r="N14" i="6" s="1"/>
  <c r="K12" i="6"/>
  <c r="M12" i="6" s="1"/>
  <c r="N12" i="6" s="1"/>
  <c r="P12" i="6" s="1"/>
  <c r="K24" i="6"/>
  <c r="M24" i="6" s="1"/>
  <c r="N24" i="6" s="1"/>
  <c r="Z12" i="5"/>
  <c r="Z11" i="5"/>
  <c r="K11" i="6"/>
  <c r="M11" i="6" s="1"/>
  <c r="N11" i="6" s="1"/>
  <c r="K23" i="6"/>
  <c r="M23" i="6" s="1"/>
  <c r="N23" i="6" s="1"/>
  <c r="Z10" i="5"/>
  <c r="K10" i="6"/>
  <c r="M10" i="6" s="1"/>
  <c r="N10" i="6" s="1"/>
  <c r="K22" i="6"/>
  <c r="M22" i="6" s="1"/>
  <c r="N22" i="6" s="1"/>
  <c r="Z9" i="5"/>
  <c r="K9" i="6"/>
  <c r="M9" i="6" s="1"/>
  <c r="N9" i="6" s="1"/>
  <c r="K21" i="6"/>
  <c r="M21" i="6" s="1"/>
  <c r="N21" i="6" s="1"/>
  <c r="Z8" i="5"/>
  <c r="K8" i="6"/>
  <c r="M8" i="6" s="1"/>
  <c r="N8" i="6" s="1"/>
  <c r="K20" i="6"/>
  <c r="M20" i="6" s="1"/>
  <c r="N20" i="6" s="1"/>
  <c r="Z7" i="5"/>
  <c r="K7" i="6"/>
  <c r="M7" i="6" s="1"/>
  <c r="N7" i="6" s="1"/>
  <c r="K19" i="6"/>
  <c r="M19" i="6" s="1"/>
  <c r="N19" i="6" s="1"/>
  <c r="Z13" i="5"/>
  <c r="O13" i="6" s="1"/>
  <c r="K13" i="6"/>
  <c r="M13" i="6" s="1"/>
  <c r="N13" i="6" s="1"/>
  <c r="P13" i="6" s="1"/>
  <c r="Z6" i="5"/>
  <c r="K6" i="6"/>
  <c r="M6" i="6" s="1"/>
  <c r="N6" i="6" s="1"/>
  <c r="K18" i="6"/>
  <c r="M18" i="6" s="1"/>
  <c r="N18" i="6" s="1"/>
  <c r="Z5" i="5"/>
  <c r="K5" i="6"/>
  <c r="M5" i="6" s="1"/>
  <c r="N5" i="6" s="1"/>
  <c r="B9" i="1" s="1"/>
  <c r="K17" i="6"/>
  <c r="M17" i="6" s="1"/>
  <c r="N17" i="6" s="1"/>
  <c r="P17" i="6" s="1"/>
  <c r="J24" i="6"/>
  <c r="P24" i="6" s="1"/>
  <c r="J23" i="6"/>
  <c r="J22" i="6"/>
  <c r="J21" i="6"/>
  <c r="J20" i="6"/>
  <c r="J14" i="6"/>
  <c r="J11" i="6"/>
  <c r="J9" i="6"/>
  <c r="J8" i="6"/>
  <c r="P8" i="6" s="1"/>
  <c r="J19" i="6"/>
  <c r="J16" i="6"/>
  <c r="J15" i="6"/>
  <c r="J10" i="6"/>
  <c r="P10" i="6" s="1"/>
  <c r="J7" i="6"/>
  <c r="J6" i="6"/>
  <c r="J5" i="6"/>
  <c r="J18" i="6"/>
  <c r="O12" i="6" l="1"/>
  <c r="O24" i="6"/>
  <c r="O11" i="6"/>
  <c r="O23" i="6"/>
  <c r="O10" i="6"/>
  <c r="O22" i="6"/>
  <c r="O9" i="6"/>
  <c r="O21" i="6"/>
  <c r="O8" i="6"/>
  <c r="O20" i="6"/>
  <c r="O7" i="6"/>
  <c r="O19" i="6"/>
  <c r="O6" i="6"/>
  <c r="O18" i="6"/>
  <c r="O5" i="6"/>
  <c r="B8" i="1" s="1"/>
  <c r="H7" i="1"/>
  <c r="H6" i="1"/>
  <c r="O17" i="6"/>
  <c r="B11" i="1"/>
  <c r="P5" i="6"/>
  <c r="B7" i="1" s="1"/>
  <c r="P23" i="6"/>
  <c r="P22" i="6"/>
  <c r="P21" i="6"/>
  <c r="P20" i="6"/>
  <c r="P14" i="6"/>
  <c r="P11" i="6"/>
  <c r="P9" i="6"/>
  <c r="P6" i="6"/>
  <c r="P18" i="6"/>
  <c r="P19" i="6"/>
  <c r="P16" i="6"/>
  <c r="P15" i="6"/>
  <c r="P7" i="6"/>
</calcChain>
</file>

<file path=xl/sharedStrings.xml><?xml version="1.0" encoding="utf-8"?>
<sst xmlns="http://schemas.openxmlformats.org/spreadsheetml/2006/main" count="1056" uniqueCount="547">
  <si>
    <t>Project 2048 밸런싱 대시보드</t>
  </si>
  <si>
    <t>전투/스킬/적/보상 핵심 지표를 현재 에셋 기준으로 확인합니다.</t>
  </si>
  <si>
    <t>활성 시나리오</t>
  </si>
  <si>
    <t>플레이어</t>
  </si>
  <si>
    <t>로스터 요약</t>
  </si>
  <si>
    <t>Stage 선택</t>
  </si>
  <si>
    <t>Max HP</t>
  </si>
  <si>
    <t>Enemy Count</t>
  </si>
  <si>
    <t>Enemy</t>
  </si>
  <si>
    <t>Attack Power</t>
  </si>
  <si>
    <t>Avg Risk Score</t>
  </si>
  <si>
    <t>Status</t>
  </si>
  <si>
    <t>Board Moves</t>
  </si>
  <si>
    <t>Max Risk Score</t>
  </si>
  <si>
    <t>Score</t>
  </si>
  <si>
    <t>Expected Turn Cost</t>
  </si>
  <si>
    <t>Avg TTK Best Hit</t>
  </si>
  <si>
    <t>HP Risk</t>
  </si>
  <si>
    <t>Best Attack Skill</t>
  </si>
  <si>
    <t>Enhanced Count</t>
  </si>
  <si>
    <t>Planned Turns</t>
  </si>
  <si>
    <t>Best Attack Damage</t>
  </si>
  <si>
    <t>AttackHeavy Count</t>
  </si>
  <si>
    <t>Hits Needed</t>
  </si>
  <si>
    <t>Best Defense Skill</t>
  </si>
  <si>
    <t>DefenseHeavy Count</t>
  </si>
  <si>
    <t>소스 갱신 기준</t>
  </si>
  <si>
    <t>SkillSO 41개 / EnemySO 12개 / PrototypePlayer.asset / CostConverter.cs / RewardTableSO</t>
  </si>
  <si>
    <t>Best Defense Block</t>
  </si>
  <si>
    <t>Balanced Count</t>
  </si>
  <si>
    <t>차트 데이터</t>
  </si>
  <si>
    <t>Risk Score</t>
  </si>
  <si>
    <t>붉은 송곳니</t>
  </si>
  <si>
    <t>검은 송곳니</t>
  </si>
  <si>
    <t>공포 파수꾼</t>
  </si>
  <si>
    <t>암흑 파수꾼</t>
  </si>
  <si>
    <t>황혼 추적자</t>
  </si>
  <si>
    <t>그림자 추적자</t>
  </si>
  <si>
    <t>분노의 발톱</t>
  </si>
  <si>
    <t>칠흑 방패</t>
  </si>
  <si>
    <t>강화 붉은 송곳니</t>
  </si>
  <si>
    <t>강화 검은 송곳니</t>
  </si>
  <si>
    <t>강화 공포 파수꾼</t>
  </si>
  <si>
    <t>강화 그림자 추적자</t>
  </si>
  <si>
    <t>Project 2048 밸런싱 기본값</t>
  </si>
  <si>
    <t>현재 ScriptableObject와 BattleScene 값을 기준으로 갱신했습니다.</t>
  </si>
  <si>
    <t>항목</t>
  </si>
  <si>
    <t>값</t>
  </si>
  <si>
    <t>단위</t>
  </si>
  <si>
    <t>설명</t>
  </si>
  <si>
    <t>Rank Delta</t>
  </si>
  <si>
    <t>Attack/Defense Multiplier</t>
  </si>
  <si>
    <t>Runtime formula / note</t>
  </si>
  <si>
    <t>Player Max HP</t>
  </si>
  <si>
    <t>HP</t>
  </si>
  <si>
    <t>Assets/Data/PrototypePlayer.asset maxHp</t>
  </si>
  <si>
    <t>-6</t>
  </si>
  <si>
    <t>Rank -6 =&gt; x0.25; formula 2/(2-rank)</t>
  </si>
  <si>
    <t>Player Attack Power</t>
  </si>
  <si>
    <t>stat</t>
  </si>
  <si>
    <t>DamageCalculator의 attackPower 입력</t>
  </si>
  <si>
    <t>-5</t>
  </si>
  <si>
    <t>Rank -5 =&gt; x0.29; formula 2/(2-rank)</t>
  </si>
  <si>
    <t>Initial Board Moves</t>
  </si>
  <si>
    <t>moves</t>
  </si>
  <si>
    <t>BattleScene StageFlowController.boardMoveCount 기준</t>
  </si>
  <si>
    <t>-4</t>
  </si>
  <si>
    <t>Rank -4 =&gt; x0.33; formula 2/(2-rank)</t>
  </si>
  <si>
    <t>Board Move Bonus</t>
  </si>
  <si>
    <t>PlayerSO.boardMoveCountBonus</t>
  </si>
  <si>
    <t>-3</t>
  </si>
  <si>
    <t>Rank -3 =&gt; x0.4; formula 2/(2-rank)</t>
  </si>
  <si>
    <t>Expected Cost per Move</t>
  </si>
  <si>
    <t>cost</t>
  </si>
  <si>
    <t>ConvertTileToCost(2)=3을 기준으로 둔 시뮬 가정값</t>
  </si>
  <si>
    <t>-2</t>
  </si>
  <si>
    <t>Rank -2 =&gt; x0.5; formula 2/(2-rank)</t>
  </si>
  <si>
    <t>Current Shield Baseline</t>
  </si>
  <si>
    <t>shield</t>
  </si>
  <si>
    <t>방어/보호막 연계 스킬 계산용 시작 보호막</t>
  </si>
  <si>
    <t>-1</t>
  </si>
  <si>
    <t>Rank -1 =&gt; x0.67; formula 2/(2-rank)</t>
  </si>
  <si>
    <t>Fear Attack Stage Penalty</t>
  </si>
  <si>
    <t>stage</t>
  </si>
  <si>
    <t>PlayerCombatController.FearDefenseGainPenalty 현재 값</t>
  </si>
  <si>
    <t>0</t>
  </si>
  <si>
    <t>Rank 0 =&gt; x1; formula (2+rank)/2</t>
  </si>
  <si>
    <t>+1</t>
  </si>
  <si>
    <t>Rank +1 =&gt; x1.5; formula (2+rank)/2</t>
  </si>
  <si>
    <t>Score Difficulty Multiplier</t>
  </si>
  <si>
    <t>score</t>
  </si>
  <si>
    <t>스테이지 점수 난이도 계수</t>
  </si>
  <si>
    <t>+2</t>
  </si>
  <si>
    <t>Rank +2 =&gt; x2; formula (2+rank)/2</t>
  </si>
  <si>
    <t>Score Remaining Move Multiplier</t>
  </si>
  <si>
    <t>남은 보드 이동 횟수 점수 계수</t>
  </si>
  <si>
    <t>+3</t>
  </si>
  <si>
    <t>Rank +3 =&gt; x2.5; formula (2+rank)/2</t>
  </si>
  <si>
    <t>Score OverCost Multiplier</t>
  </si>
  <si>
    <t>남는 코스트 점수 계수</t>
  </si>
  <si>
    <t>+4</t>
  </si>
  <si>
    <t>Rank +4 =&gt; x3; formula (2+rank)/2</t>
  </si>
  <si>
    <t>Score Turn Penalty</t>
  </si>
  <si>
    <t>전투 턴 수마다 차감</t>
  </si>
  <si>
    <t>+5</t>
  </si>
  <si>
    <t>Rank +5 =&gt; x3.5; formula (2+rank)/2</t>
  </si>
  <si>
    <t>Minimum Stage Score</t>
  </si>
  <si>
    <t>스테이지 점수 하한</t>
  </si>
  <si>
    <t>+6</t>
  </si>
  <si>
    <t>Rank +6 =&gt; x4; formula (2+rank)/2</t>
  </si>
  <si>
    <t>Enhanced Strength Multiplier</t>
  </si>
  <si>
    <t>x</t>
  </si>
  <si>
    <t>EnemyAiStrength.Enhanced 스킬/기본 행동 보정</t>
  </si>
  <si>
    <t>Critical Rank</t>
  </si>
  <si>
    <t>+20%p per rank</t>
  </si>
  <si>
    <t>CriticalChance = baseCriticalChance + rank*0.2, clamped 0..1; rank range 0..4.</t>
  </si>
  <si>
    <t>Balanced Attack Weight</t>
  </si>
  <si>
    <t>weight</t>
  </si>
  <si>
    <t>EnemyAiActionBias.Balanced</t>
  </si>
  <si>
    <t>Balanced Defense Weight</t>
  </si>
  <si>
    <t>AttackHeavy Attack Weight</t>
  </si>
  <si>
    <t>EnemyAiActionBias.AttackHeavy</t>
  </si>
  <si>
    <t>AttackHeavy Defense Weight</t>
  </si>
  <si>
    <t>DefenseHeavy Attack Weight</t>
  </si>
  <si>
    <t>EnemyAiActionBias.DefenseHeavy</t>
  </si>
  <si>
    <t>DefenseHeavy Defense Weight</t>
  </si>
  <si>
    <t>Default Debuff Interval</t>
  </si>
  <si>
    <t>turns</t>
  </si>
  <si>
    <t>기본 적 디버프 시도 주기</t>
  </si>
  <si>
    <t>Total Board Moves</t>
  </si>
  <si>
    <t>Initial Board Moves + Board Move Bonus</t>
  </si>
  <si>
    <t>Total Board Moves * Expected Cost per Move</t>
  </si>
  <si>
    <t>Player Base Defense Power</t>
  </si>
  <si>
    <t>피해 계산에서 플레이어 방어 분모</t>
  </si>
  <si>
    <t>Critical Chance</t>
  </si>
  <si>
    <t>chance</t>
  </si>
  <si>
    <t>PlayerSO.criticalChance</t>
  </si>
  <si>
    <t>Critical Damage Multiplier</t>
  </si>
  <si>
    <t>PlayerSO.criticalDamageMultiplier</t>
  </si>
  <si>
    <t>Starting Skills</t>
  </si>
  <si>
    <t>빛 발사, 낮은 자세, 섬광</t>
  </si>
  <si>
    <t>skills</t>
  </si>
  <si>
    <t>PlayerSO.startingSkills</t>
  </si>
  <si>
    <t>Sim Target Defense</t>
  </si>
  <si>
    <t>스킬 예상 피해 계산용 기본 적 방어</t>
  </si>
  <si>
    <t>Sim Shield Stat</t>
  </si>
  <si>
    <t>ShieldHp 기반 공격 예상 피해용 보호막 가정</t>
  </si>
  <si>
    <t>Damage Variance Average</t>
  </si>
  <si>
    <t>DamageCalculator 0.85~1.0 평균</t>
  </si>
  <si>
    <t>Final Stage Index</t>
  </si>
  <si>
    <t>BattleScene StageFlowController.finalStageIndex</t>
  </si>
  <si>
    <t>Elite Interval</t>
  </si>
  <si>
    <t>BattleScene StageFlowController.eliteInterval</t>
  </si>
  <si>
    <t>타일 코스트 곡선</t>
  </si>
  <si>
    <t>현재 CostConverter.ConvertTileToCost log2 기반 단일 타일 코스트입니다.</t>
  </si>
  <si>
    <t>Tier</t>
  </si>
  <si>
    <t>Tile</t>
  </si>
  <si>
    <t>Current Cost</t>
  </si>
  <si>
    <t>Target Cost</t>
  </si>
  <si>
    <t>Cost / Tile</t>
  </si>
  <si>
    <t>Target Delta</t>
  </si>
  <si>
    <t>메모</t>
  </si>
  <si>
    <t>log2(tile) * 3</t>
  </si>
  <si>
    <t>스킬 밸런스</t>
  </si>
  <si>
    <t>SkillSO 41 assets synced from Assets/Data/Skills</t>
  </si>
  <si>
    <t>Skill ID</t>
  </si>
  <si>
    <t>Skill Name</t>
  </si>
  <si>
    <t>Type</t>
  </si>
  <si>
    <t>Effect Kind</t>
  </si>
  <si>
    <t>Damage Stat</t>
  </si>
  <si>
    <t>Availability</t>
  </si>
  <si>
    <t>Cost</t>
  </si>
  <si>
    <t>Power</t>
  </si>
  <si>
    <t>Effective Power</t>
  </si>
  <si>
    <t>Est Damage</t>
  </si>
  <si>
    <t>Shield/Heal</t>
  </si>
  <si>
    <t>Damage / Cost</t>
  </si>
  <si>
    <t>Effect Summary</t>
  </si>
  <si>
    <t>Description</t>
  </si>
  <si>
    <t>quick-stab</t>
  </si>
  <si>
    <t>빠른 찌르기</t>
  </si>
  <si>
    <t>Attack</t>
  </si>
  <si>
    <t>BasicAttack</t>
  </si>
  <si>
    <t>AttackPower</t>
  </si>
  <si>
    <t>Shared</t>
  </si>
  <si>
    <t>적에게 위력 40 피해를 준다.</t>
  </si>
  <si>
    <t>overburn</t>
  </si>
  <si>
    <t>초과연소</t>
  </si>
  <si>
    <t>OverburnAttack</t>
  </si>
  <si>
    <t>적에게 위력 50 피해를 준다. 사용 후 남은 코스트를 모두 추가 소모하고, 추가 소모한 코스트 1당 위력 +10을 적용한다.</t>
  </si>
  <si>
    <t>poison-coat</t>
  </si>
  <si>
    <t>독 묻히기</t>
  </si>
  <si>
    <t>PoisonAttack</t>
  </si>
  <si>
    <t>적에게 위력 30 피해를 주고 독 3턴을 부여한다. 독은 대상 턴 종료 시 최대 체력의 5% 피해를 주며 최소 1 피해를 준다.</t>
  </si>
  <si>
    <t>shield-bash</t>
  </si>
  <si>
    <t>방패 밀치기</t>
  </si>
  <si>
    <t>ShieldScalingAttack</t>
  </si>
  <si>
    <t>ShieldHp</t>
  </si>
  <si>
    <t>현재 보호막 수치로 계산하여 적에게 위력 60 피해를 준다. 보호막은 소모하지 않는다.</t>
  </si>
  <si>
    <t>bleeding-cut</t>
  </si>
  <si>
    <t>화염구</t>
  </si>
  <si>
    <t>적에게 위력 50 피해를 준다. 사용 후 남은 코스트를 모두 추가 소모하고, 추가 소모한 코스트 1당 위력 +10을 적용한다. 화염구를 발사한다.</t>
  </si>
  <si>
    <t>execute</t>
  </si>
  <si>
    <t>마무리</t>
  </si>
  <si>
    <t>ExecuteAttack</t>
  </si>
  <si>
    <t>적에게 위력 40 피해를 준다. 대상의 현재 체력이 최대 체력의 30% 이하라면 위력 80으로 공격한다.</t>
  </si>
  <si>
    <t>gather-light</t>
  </si>
  <si>
    <t>빛 모으기</t>
  </si>
  <si>
    <t>ChargeAttack</t>
  </si>
  <si>
    <t>PlayerOnly</t>
  </si>
  <si>
    <t>이번 턴에는 빛을 모은다. 다음 플레이어 턴 시작 시 적에게 위력 120의 빛 공격을 자동으로 사용한다.</t>
  </si>
  <si>
    <t>light-shot</t>
  </si>
  <si>
    <t>빛 발사</t>
  </si>
  <si>
    <t>적에게 위력 60의 빛 피해를 준다.</t>
  </si>
  <si>
    <t>tentacle-strike</t>
  </si>
  <si>
    <t>촉수 치기</t>
  </si>
  <si>
    <t>BoardMovePenaltyAttack</t>
  </si>
  <si>
    <t>적에게 위력 90 피해를 준다. 다음 플레이어 턴의 보드 이동 횟수가 1 감소한다.</t>
  </si>
  <si>
    <t>blood-fang</t>
  </si>
  <si>
    <t>불사르기</t>
  </si>
  <si>
    <t>SacrificeAttack</t>
  </si>
  <si>
    <t>최대 체력의 10%를 불태워 화염구를 발사하고 적에게 위력 100 피해를 준다. 이 비용으로 체력은 1 아래로 내려가지 않는다.</t>
  </si>
  <si>
    <t>body-press</t>
  </si>
  <si>
    <t>육중한 압박</t>
  </si>
  <si>
    <t>DefenseScalingAttack</t>
  </si>
  <si>
    <t>DefensePower</t>
  </si>
  <si>
    <t>공격력 대신 방어력으로 계산하여 적에게 위력 80 피해를 준다.</t>
  </si>
  <si>
    <t>flow-strike</t>
  </si>
  <si>
    <t>흐름 가르기</t>
  </si>
  <si>
    <t>BoardMoveBonusAttack</t>
  </si>
  <si>
    <t>적에게 위력 50 피해를 준다. 다음 플레이어 턴의 보드 이동 횟수가 1 증가한다.</t>
  </si>
  <si>
    <t>intimidating-shot</t>
  </si>
  <si>
    <t>위협 사격</t>
  </si>
  <si>
    <t>AttackStageDown</t>
  </si>
  <si>
    <t>적에게 위력 50 피해를 주고, 적의 공격 랭크를 1 낮춘다. [Rank multiplier: enemy attack -1 =&gt; attack x0.67]</t>
  </si>
  <si>
    <t>적에게 위력 50 피해를 주고, 적의 공격 랭크를 1 낮춘다.</t>
  </si>
  <si>
    <t>life-drain</t>
  </si>
  <si>
    <t>생명 흡수</t>
  </si>
  <si>
    <t>LifeStealAttack</t>
  </si>
  <si>
    <t>적에게 위력 60 피해를 준다. 실제 체력 피해의 50%만큼 체력을 회복한다.</t>
  </si>
  <si>
    <t>open-wound</t>
  </si>
  <si>
    <t>폭렬</t>
  </si>
  <si>
    <t>70</t>
  </si>
  <si>
    <t>적에게 위력 70 피해를 준다. 사용 후 남은 코스트를 모두 추가 소모하고, 추가 소모한 코스트 1당 위력 +10을 적용한다. 폭발하는 화염구를 발사하고, 적중 시 적 위치에 폭발 이펙트를 일으킨다.</t>
  </si>
  <si>
    <t>shield-burst</t>
  </si>
  <si>
    <t>방패 폭발</t>
  </si>
  <si>
    <t>ShieldBurstAttack</t>
  </si>
  <si>
    <t>현재 보호막 수치로 계산하여 적에게 위력 100 피해를 준다. 사용 후 보호막을 모두 잃는다.</t>
  </si>
  <si>
    <t>bioluminescence</t>
  </si>
  <si>
    <t>생체 발광</t>
  </si>
  <si>
    <t>최대 체력의 25%를 지불하고 적에게 위력 120 피해를 준다. 이 비용으로 체력은 1 아래로 내려가지 않는다.</t>
  </si>
  <si>
    <t>heavy-strike</t>
  </si>
  <si>
    <t>강타</t>
  </si>
  <si>
    <t>적에게 위력 80 피해를 준다.</t>
  </si>
  <si>
    <t>reckless-blow</t>
  </si>
  <si>
    <t>무리한 강타</t>
  </si>
  <si>
    <t>적에게 위력 110 피해를 준다. 다음 플레이어 턴의 보드 이동 횟수가 2 감소한다.</t>
  </si>
  <si>
    <t>crack-brand</t>
  </si>
  <si>
    <t>균열 낙인</t>
  </si>
  <si>
    <t>Debuff</t>
  </si>
  <si>
    <t>CrackBrand</t>
  </si>
  <si>
    <t>대상에게 낙인을 부여한다. 낙인이 있는 대상이 다음 공격을 받으면 추가 피해 40을 받고 낙인이 해제된다.</t>
  </si>
  <si>
    <t>flash</t>
  </si>
  <si>
    <t>섬광</t>
  </si>
  <si>
    <t>적의 공격 랭크를 1 낮춘다. [Rank multiplier: enemy attack -1 =&gt; attack x0.67]</t>
  </si>
  <si>
    <t>적의 공격 랭크를 1 낮춘다.</t>
  </si>
  <si>
    <t>howl</t>
  </si>
  <si>
    <t>울부짖기</t>
  </si>
  <si>
    <t>DefenseStageDown</t>
  </si>
  <si>
    <t>적의 방어 랭크를 1 낮춘다. [Rank multiplier: enemy defense -1 =&gt; defense x0.67]</t>
  </si>
  <si>
    <t>적의 방어 랭크를 1 낮춘다.</t>
  </si>
  <si>
    <t>taunt</t>
  </si>
  <si>
    <t>도발</t>
  </si>
  <si>
    <t>Taunt</t>
  </si>
  <si>
    <t>적의 다음 행동 인텐드를 공격으로 강제하고, 적의 공격 랭크를 2 올린다. [Rank multiplier: enemy attack +2 =&gt; attack x2]</t>
  </si>
  <si>
    <t>적의 다음 행동 인텐드를 공격으로 강제하고, 적의 공격 랭크를 2 올린다.</t>
  </si>
  <si>
    <t>seal-skill</t>
  </si>
  <si>
    <t>봉인</t>
  </si>
  <si>
    <t>SealSkill</t>
  </si>
  <si>
    <t>대상이 마지막으로 사용한 비기본 스킬을 다음 턴 1회 사용할 수 없게 한다. 봉인할 스킬이 없으면 효과가 없다.</t>
  </si>
  <si>
    <t>afterglow-save</t>
  </si>
  <si>
    <t>잔광 저장</t>
  </si>
  <si>
    <t>Defense</t>
  </si>
  <si>
    <t>CostCarry</t>
  </si>
  <si>
    <t>이번 턴 종료 시 남은 코스트를 최대 4까지 다음 턴으로 이월한다. 이월 코스트는 한 번 적용되면 사라진다.</t>
  </si>
  <si>
    <t>cleanse-hand</t>
  </si>
  <si>
    <t>정화의 손길</t>
  </si>
  <si>
    <t>DarknessCleanse</t>
  </si>
  <si>
    <t>보드 위 암흑 장애물 1개를 제거한다. 제거에 성공하면 코스트 2를 환급한다.</t>
  </si>
  <si>
    <t>focus-breath</t>
  </si>
  <si>
    <t>집중 호흡</t>
  </si>
  <si>
    <t>CriticalStageUp</t>
  </si>
  <si>
    <t>치명타 랭크를 1 올린다. [Critical rank: +1 =&gt; critical chance +20%p]</t>
  </si>
  <si>
    <t>치명타 랭크를 1 올린다.</t>
  </si>
  <si>
    <t>low-stance</t>
  </si>
  <si>
    <t>낮은 자세</t>
  </si>
  <si>
    <t>BasicDefense</t>
  </si>
  <si>
    <t>보호막 30을 얻는다.</t>
  </si>
  <si>
    <t>light-echo</t>
  </si>
  <si>
    <t>빛의 메아리</t>
  </si>
  <si>
    <t>NextAttackPowerMultiplier</t>
  </si>
  <si>
    <t>다음 공격의 기술 위력이 1.3배가 된다.</t>
  </si>
  <si>
    <t>endure</t>
  </si>
  <si>
    <t>이악물기</t>
  </si>
  <si>
    <t>Endure</t>
  </si>
  <si>
    <t>다음 적 턴 동안 체력이 1 아래로 내려가지 않는다.</t>
  </si>
  <si>
    <t>iron-wall</t>
  </si>
  <si>
    <t>철벽</t>
  </si>
  <si>
    <t>DefenseStageUp</t>
  </si>
  <si>
    <t>내 방어 랭크를 2 올린다. [Rank multiplier: self defense +2 =&gt; defense x2]</t>
  </si>
  <si>
    <t>내 방어 랭크를 2 올린다.</t>
  </si>
  <si>
    <t>light-guard</t>
  </si>
  <si>
    <t>빛 방어</t>
  </si>
  <si>
    <t>보호막 60을 얻는다.</t>
  </si>
  <si>
    <t>light-split</t>
  </si>
  <si>
    <t>빛의 분산</t>
  </si>
  <si>
    <t>NextAttackSplit</t>
  </si>
  <si>
    <t>다음 공격이 2회 공격으로 바뀐다. 각 공격은 원래 기술 위력의 60%로 계산된다.</t>
  </si>
  <si>
    <t>sharp-senses</t>
  </si>
  <si>
    <t>예리한 감각</t>
  </si>
  <si>
    <t>치명타 랭크를 2 올린다. [Critical rank: +2 =&gt; critical chance +40%p]</t>
  </si>
  <si>
    <t>치명타 랭크를 2 올린다.</t>
  </si>
  <si>
    <t>thorn-guard</t>
  </si>
  <si>
    <t>가시 방어</t>
  </si>
  <si>
    <t>ThornGuard</t>
  </si>
  <si>
    <t>보호막 40을 얻는다. 보호막이 남아 있을 때 적의 직접 공격을 받으면, 현재 보호막 수치로 위력 40 반격을 한다.</t>
  </si>
  <si>
    <t>light-recover</t>
  </si>
  <si>
    <t>빛 회복</t>
  </si>
  <si>
    <t>Heal</t>
  </si>
  <si>
    <t>최대 체력의 25%만큼 회복한다.</t>
  </si>
  <si>
    <t>dark-shackle</t>
  </si>
  <si>
    <t>어둠의 족쇄</t>
  </si>
  <si>
    <t>EnemyOnly</t>
  </si>
  <si>
    <t>위력 40 피해를 주고, 다음 플레이어 턴의 보드 이동 횟수를 1 줄인다.</t>
  </si>
  <si>
    <t>black-corrosion</t>
  </si>
  <si>
    <t>검은 부식</t>
  </si>
  <si>
    <t>CostGainDown</t>
  </si>
  <si>
    <t>플레이어의 다음 턴 코스트 획득량에서 3을 차감한다. 코스트 획득량은 0 미만으로 내려가지 않는다.</t>
  </si>
  <si>
    <t>black-pressure</t>
  </si>
  <si>
    <t>검은 압박</t>
  </si>
  <si>
    <t>다음 플레이어 턴에 보드에서 얻는 코스트가 30% 감소한다.</t>
  </si>
  <si>
    <t>darkness</t>
  </si>
  <si>
    <t>암흑</t>
  </si>
  <si>
    <t>BoardObstacleDebuff</t>
  </si>
  <si>
    <t>다음 플레이어 보드에 암흑 장애물 1개를 생성한다.</t>
  </si>
  <si>
    <t>deep-darkness</t>
  </si>
  <si>
    <t>깊은 암흑</t>
  </si>
  <si>
    <t>다음 플레이어 보드에 암흑 장애물 2개를 생성한다.</t>
  </si>
  <si>
    <t>적 로스터 / AI 압박도</t>
  </si>
  <si>
    <t>Assets/Data/Enemies/*.asset 12종을 현재 스탯, 스킬 4칸, AI 설정 기준으로 갱신했습니다.</t>
  </si>
  <si>
    <t>Encounter Rank</t>
  </si>
  <si>
    <t>AI Strength</t>
  </si>
  <si>
    <t>AI Bias</t>
  </si>
  <si>
    <t>Debuff Pattern</t>
  </si>
  <si>
    <t>Attack Stat</t>
  </si>
  <si>
    <t>Defense Stat</t>
  </si>
  <si>
    <t>Defense Block</t>
  </si>
  <si>
    <t>Debuff Power</t>
  </si>
  <si>
    <t>Crit %</t>
  </si>
  <si>
    <t>Crit Mult</t>
  </si>
  <si>
    <t>Actions / Turn</t>
  </si>
  <si>
    <t>Debuff Interval</t>
  </si>
  <si>
    <t>Skill 1</t>
  </si>
  <si>
    <t>Skill 2</t>
  </si>
  <si>
    <t>Skill 3</t>
  </si>
  <si>
    <t>Skill 4</t>
  </si>
  <si>
    <t>Attack Chance</t>
  </si>
  <si>
    <t>Defense Chance</t>
  </si>
  <si>
    <t>Strength Mult</t>
  </si>
  <si>
    <t>Eff Attack</t>
  </si>
  <si>
    <t>Eff Block</t>
  </si>
  <si>
    <t>Exp Atk / Turn</t>
  </si>
  <si>
    <t>TTK Best Hit</t>
  </si>
  <si>
    <t>Notes</t>
  </si>
  <si>
    <t>그림자 늑대</t>
  </si>
  <si>
    <t>Normal</t>
  </si>
  <si>
    <t>Balanced</t>
  </si>
  <si>
    <t>FearThenDarkness</t>
  </si>
  <si>
    <t>출혈 베기</t>
  </si>
  <si>
    <t>Assets/Data/Enemies/01.asset</t>
  </si>
  <si>
    <t>속박된 전율</t>
  </si>
  <si>
    <t>방어 읽기</t>
  </si>
  <si>
    <t>Assets/Data/Enemies/02.asset</t>
  </si>
  <si>
    <t>거짓된 미소</t>
  </si>
  <si>
    <t>DarknessThenFear</t>
  </si>
  <si>
    <t>Assets/Data/Enemies/03.asset</t>
  </si>
  <si>
    <t>푸른심장</t>
  </si>
  <si>
    <t>Assets/Data/Enemies/04.asset</t>
  </si>
  <si>
    <t>푸른귀 들쥐</t>
  </si>
  <si>
    <t>Elite</t>
  </si>
  <si>
    <t>Enhanced</t>
  </si>
  <si>
    <t>AttackHeavy</t>
  </si>
  <si>
    <t>Assets/Data/Enemies/05.asset</t>
  </si>
  <si>
    <t>물결치는 역병</t>
  </si>
  <si>
    <t>피의 이빨</t>
  </si>
  <si>
    <t>상처 벌리기</t>
  </si>
  <si>
    <t>Assets/Data/Enemies/06.asset</t>
  </si>
  <si>
    <t>외눈 추적자</t>
  </si>
  <si>
    <t>Assets/Data/Enemies/07.asset</t>
  </si>
  <si>
    <t>카르민느</t>
  </si>
  <si>
    <t>Assets/Data/Enemies/08.asset</t>
  </si>
  <si>
    <t>소용돌이치는 혼돈</t>
  </si>
  <si>
    <t>DefenseHeavy</t>
  </si>
  <si>
    <t>Assets/Data/Enemies/09.asset</t>
  </si>
  <si>
    <t>나선뿔 목동</t>
  </si>
  <si>
    <t>Assets/Data/Enemies/10.asset</t>
  </si>
  <si>
    <t>다층 갑각</t>
  </si>
  <si>
    <t>Boss</t>
  </si>
  <si>
    <t>Assets/Data/Enemies/11.asset</t>
  </si>
  <si>
    <t>네크릴라</t>
  </si>
  <si>
    <t>FinalBoss</t>
  </si>
  <si>
    <t>Assets/Data/Enemies/12.asset</t>
  </si>
  <si>
    <t>전투 시뮬레이션</t>
  </si>
  <si>
    <t>20스테이지 흐름과 현재 스킬/적 스탯을 연결한 단순 밸런스 점검표입니다.</t>
  </si>
  <si>
    <t>Stage</t>
  </si>
  <si>
    <t>Remaining Moves</t>
  </si>
  <si>
    <t>OverCost</t>
  </si>
  <si>
    <t>Main Attack Skill</t>
  </si>
  <si>
    <t>Main Defense Skill</t>
  </si>
  <si>
    <t>Enemy HP</t>
  </si>
  <si>
    <t>Attack Damage</t>
  </si>
  <si>
    <t>Enemy Exp Atk</t>
  </si>
  <si>
    <t>Block / Turn</t>
  </si>
  <si>
    <t>Expected Net Damage</t>
  </si>
  <si>
    <t>보상 / 점수 룰</t>
  </si>
  <si>
    <t>Reward assets and PrototypeRewardTable are synced. Temporary attack/defense rewards are next-combat rank bonuses, not flat stat bonuses.</t>
  </si>
  <si>
    <t>Reward ID</t>
  </si>
  <si>
    <t>Display Name</t>
  </si>
  <si>
    <t>Kind</t>
  </si>
  <si>
    <t>Skill Learned</t>
  </si>
  <si>
    <t>Heal % Max HP</t>
  </si>
  <si>
    <t>Heal Amount</t>
  </si>
  <si>
    <t>Extra Move</t>
  </si>
  <si>
    <t>Temp Atk Rank</t>
  </si>
  <si>
    <t>Temp Def Rank</t>
  </si>
  <si>
    <t>Temp Move</t>
  </si>
  <si>
    <t>Permanent HP</t>
  </si>
  <si>
    <t>Permanent Atk</t>
  </si>
  <si>
    <t>Permanent Def</t>
  </si>
  <si>
    <t>Crit Chance Bonus</t>
  </si>
  <si>
    <t>Crit Damage Bonus</t>
  </si>
  <si>
    <t>Enemy Skill Offer %</t>
  </si>
  <si>
    <t>Encounter Text / Notes</t>
  </si>
  <si>
    <t>moth-basic</t>
  </si>
  <si>
    <t>나방</t>
  </si>
  <si>
    <t>HealTwo</t>
  </si>
  <si>
    <t>조력자가 다음 전투를 준비할기회를 줍니다.</t>
  </si>
  <si>
    <t>learn-tentacle-strike</t>
  </si>
  <si>
    <t>기술 습득</t>
  </si>
  <si>
    <t>LearnSkill</t>
  </si>
  <si>
    <t>촉수 치기 기술을 배웁니다.</t>
  </si>
  <si>
    <t>learn-thorn-guard</t>
  </si>
  <si>
    <t>가시 방어 기술을 배웁니다.</t>
  </si>
  <si>
    <t>learn-gather-light</t>
  </si>
  <si>
    <t>빛 모으기 기술을 배웁니다.</t>
  </si>
  <si>
    <t>learn-endure</t>
  </si>
  <si>
    <t>이악물기 기술을 배웁니다.</t>
  </si>
  <si>
    <t>learn-howl</t>
  </si>
  <si>
    <t>울부짖기 기술을 배웁니다.</t>
  </si>
  <si>
    <t>learn-bioluminescence</t>
  </si>
  <si>
    <t>생체 발광 기술을 배웁니다.</t>
  </si>
  <si>
    <t>learn-sharp-senses</t>
  </si>
  <si>
    <t>예리한 감각 기술을 배웁니다.</t>
  </si>
  <si>
    <t>learn-light-split</t>
  </si>
  <si>
    <t>빛의 분산 기술을 배웁니다.</t>
  </si>
  <si>
    <t>learn-light-echo</t>
  </si>
  <si>
    <t>빛의 메아리 기술을 배웁니다.</t>
  </si>
  <si>
    <t>learn-life-drain</t>
  </si>
  <si>
    <t>생명 흡수 기술을 배웁니다.</t>
  </si>
  <si>
    <t>learn-bleeding-cut</t>
  </si>
  <si>
    <t>화염구 기술을 배웁니다.</t>
  </si>
  <si>
    <t>learn-poison-coat</t>
  </si>
  <si>
    <t>독 묻히기 기술을 배웁니다.</t>
  </si>
  <si>
    <t>learn-open-wound</t>
  </si>
  <si>
    <t>폭렬 기술을 배웁니다.</t>
  </si>
  <si>
    <t>learn-execute</t>
  </si>
  <si>
    <t>마무리 기술을 배웁니다.</t>
  </si>
  <si>
    <t>learn-overburn</t>
  </si>
  <si>
    <t>초과연소 기술을 배웁니다.</t>
  </si>
  <si>
    <t>learn-seal-skill</t>
  </si>
  <si>
    <t>봉인 기술을 배웁니다.</t>
  </si>
  <si>
    <t>learn-taunt</t>
  </si>
  <si>
    <t>도발 기술을 배웁니다.</t>
  </si>
  <si>
    <t>learn-crack-brand</t>
  </si>
  <si>
    <t>균열 낙인 기술을 배웁니다.</t>
  </si>
  <si>
    <t>learn-afterglow-save</t>
  </si>
  <si>
    <t>잔광 저장 기술을 배웁니다.</t>
  </si>
  <si>
    <t>learn-cleanse-hand</t>
  </si>
  <si>
    <t>정화의 손길 기술을 배웁니다.</t>
  </si>
  <si>
    <t>Scenario</t>
  </si>
  <si>
    <t>Difficulty</t>
  </si>
  <si>
    <t>Turn Count</t>
  </si>
  <si>
    <t>빠른 승리</t>
  </si>
  <si>
    <t>표준 승리</t>
  </si>
  <si>
    <t>고난도 빠른 승리</t>
  </si>
  <si>
    <t>고난도 장기전</t>
  </si>
  <si>
    <t>개발 전달 메모</t>
  </si>
  <si>
    <t>밸런스 시트가 참조하는 현재 런타임 소스와 조정 포인트입니다.</t>
  </si>
  <si>
    <t>튜닝 항목</t>
  </si>
  <si>
    <t>참조 시트</t>
  </si>
  <si>
    <t>요청 값/범위</t>
  </si>
  <si>
    <t>기획 의도</t>
  </si>
  <si>
    <t>우선순위</t>
  </si>
  <si>
    <t>개발 확인</t>
  </si>
  <si>
    <t>타일별 코스트</t>
  </si>
  <si>
    <t>TileCost</t>
  </si>
  <si>
    <t>Current/Target Cost</t>
  </si>
  <si>
    <t>CostConverter log2 기반 보드 코스트 체감 조정</t>
  </si>
  <si>
    <t>Core</t>
  </si>
  <si>
    <t>플레이어 스탯</t>
  </si>
  <si>
    <t>Inputs</t>
  </si>
  <si>
    <t>HP/공격/방어/보드 이동/치명</t>
  </si>
  <si>
    <t>초반 생존력과 턴당 스킬 사용량 조정</t>
  </si>
  <si>
    <t>스킬 코스트/위력/효과</t>
  </si>
  <si>
    <t>Skills</t>
  </si>
  <si>
    <t>Cost / Power / Effect Summary</t>
  </si>
  <si>
    <t>42개 SkillSO 전체 역할과 효율 비교</t>
  </si>
  <si>
    <t>Rank multipliers: see Inputs F:H. Positive attack/defense rank uses (2+rank)/2, so +2 is x2.</t>
  </si>
  <si>
    <t>적 HP/공격/AI/스킬 4칸</t>
  </si>
  <si>
    <t>Enemies</t>
  </si>
  <si>
    <t>EnemySO stats + Skill 1-4</t>
  </si>
  <si>
    <t>전투 길이, 피해 압박, 상태효과 압박 조정</t>
  </si>
  <si>
    <t>보상 및 기술 습득</t>
  </si>
  <si>
    <t>RewardsScore</t>
  </si>
  <si>
    <t>RewardTableSO + BattleRewardSO</t>
  </si>
  <si>
    <t>런 진행 성장/보상 선택 가치 조정</t>
  </si>
  <si>
    <t>Retune</t>
  </si>
  <si>
    <t>Temporary attack/defense rewards now apply next-combat rank bonuses. Rank changes persist until combat reset.</t>
  </si>
  <si>
    <t>20스테이지 흐름</t>
  </si>
  <si>
    <t>CombatSim</t>
  </si>
  <si>
    <t>Stage/Enemy/Skill/Turns</t>
  </si>
  <si>
    <t>현재 finalStageIndex 기준으로 전투 위험도 점검</t>
  </si>
  <si>
    <t>SkillType</t>
  </si>
  <si>
    <t>Enemy Names</t>
  </si>
  <si>
    <t>Skill Names</t>
  </si>
  <si>
    <t>Sim Status</t>
  </si>
  <si>
    <t>OK</t>
  </si>
  <si>
    <t>주의</t>
  </si>
  <si>
    <t>위험</t>
  </si>
  <si>
    <t>Disabled</t>
  </si>
  <si>
    <t>공격 부족</t>
  </si>
  <si>
    <t>스킬 확인</t>
  </si>
  <si>
    <t/>
  </si>
  <si>
    <t>1</t>
  </si>
  <si>
    <t>2</t>
  </si>
  <si>
    <t>3</t>
  </si>
  <si>
    <t>열1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</si>
</sst>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"/>
    <numFmt numFmtId="177" formatCode="\+0;\-0;0"/>
    <numFmt numFmtId="178" formatCode="0.0"/>
  </numFmts>
  <fonts count="10">
    <font>
      <sz val="11"/>
      <name val="Carlito"/>
    </font>
    <font>
      <b/>
      <sz val="10"/>
      <color rgb="FF1F2933"/>
      <name val="맑은 고딕"/>
      <family val="3"/>
      <charset val="129"/>
    </font>
    <font>
      <sz val="10"/>
      <color rgb="FF1F2933"/>
      <name val="맑은 고딕"/>
      <family val="3"/>
      <charset val="129"/>
    </font>
    <font>
      <b/>
      <sz val="15"/>
      <color rgb="FFFFFFFF"/>
      <name val="맑은 고딕"/>
      <family val="3"/>
      <charset val="129"/>
    </font>
    <font>
      <b/>
      <sz val="16"/>
      <color rgb="FFFFFFFF"/>
      <name val="Carlito"/>
    </font>
    <font>
      <i/>
      <sz val="11"/>
      <color rgb="FF666666"/>
      <name val="Carlito"/>
    </font>
    <font>
      <b/>
      <sz val="11"/>
      <name val="Carlito"/>
    </font>
    <font>
      <b/>
      <sz val="11"/>
      <color rgb="FFFFFFFF"/>
      <name val="Carlito"/>
    </font>
    <font>
      <sz val="11"/>
      <name val="Carlito"/>
    </font>
    <font>
      <sz val="8"/>
      <name val="돋움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FFF3BF"/>
      </patternFill>
    </fill>
    <fill>
      <patternFill patternType="solid">
        <fgColor rgb="FFE8F5F2"/>
      </patternFill>
    </fill>
    <fill>
      <patternFill patternType="solid">
        <fgColor rgb="FF1F7A7A"/>
      </patternFill>
    </fill>
    <fill>
      <patternFill patternType="solid">
        <fgColor rgb="FF2F5D8C"/>
      </patternFill>
    </fill>
    <fill>
      <patternFill patternType="solid">
        <fgColor rgb="FF1F4E78"/>
      </patternFill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37">
    <xf numFmtId="0" fontId="0" fillId="0" borderId="0" xfId="0"/>
    <xf numFmtId="0" fontId="1" fillId="8" borderId="0" xfId="1" applyFont="1" applyFill="1" applyAlignment="1">
      <alignment horizontal="left" vertical="center"/>
    </xf>
    <xf numFmtId="0" fontId="2" fillId="3" borderId="0" xfId="1" applyFont="1" applyFill="1" applyAlignment="1">
      <alignment vertical="center"/>
    </xf>
    <xf numFmtId="0" fontId="2" fillId="6" borderId="0" xfId="1" applyFont="1" applyFill="1" applyAlignment="1">
      <alignment vertical="center"/>
    </xf>
    <xf numFmtId="178" fontId="2" fillId="3" borderId="0" xfId="1" applyNumberFormat="1" applyFont="1" applyFill="1" applyAlignment="1">
      <alignment vertical="center"/>
    </xf>
    <xf numFmtId="1" fontId="2" fillId="3" borderId="0" xfId="1" applyNumberFormat="1" applyFont="1" applyFill="1" applyAlignment="1">
      <alignment vertical="center"/>
    </xf>
    <xf numFmtId="9" fontId="2" fillId="3" borderId="0" xfId="1" applyNumberFormat="1" applyFont="1" applyFill="1" applyAlignment="1">
      <alignment vertical="center"/>
    </xf>
    <xf numFmtId="0" fontId="1" fillId="2" borderId="0" xfId="1" applyFont="1" applyFill="1" applyAlignment="1">
      <alignment horizontal="center" vertical="center" wrapText="1"/>
    </xf>
    <xf numFmtId="0" fontId="2" fillId="0" borderId="0" xfId="1" applyFont="1" applyAlignment="1">
      <alignment vertical="center"/>
    </xf>
    <xf numFmtId="2" fontId="2" fillId="6" borderId="0" xfId="1" applyNumberFormat="1" applyFont="1" applyFill="1" applyAlignment="1">
      <alignment vertical="center"/>
    </xf>
    <xf numFmtId="0" fontId="1" fillId="7" borderId="0" xfId="1" applyFont="1" applyFill="1" applyAlignment="1">
      <alignment vertical="center"/>
    </xf>
    <xf numFmtId="2" fontId="1" fillId="7" borderId="0" xfId="1" applyNumberFormat="1" applyFont="1" applyFill="1" applyAlignment="1">
      <alignment vertical="center"/>
    </xf>
    <xf numFmtId="1" fontId="2" fillId="6" borderId="0" xfId="1" applyNumberFormat="1" applyFont="1" applyFill="1" applyAlignment="1">
      <alignment vertical="center"/>
    </xf>
    <xf numFmtId="176" fontId="2" fillId="3" borderId="0" xfId="1" applyNumberFormat="1" applyFont="1" applyFill="1" applyAlignment="1">
      <alignment vertical="center"/>
    </xf>
    <xf numFmtId="177" fontId="2" fillId="3" borderId="0" xfId="1" applyNumberFormat="1" applyFont="1" applyFill="1" applyAlignment="1">
      <alignment vertical="center"/>
    </xf>
    <xf numFmtId="2" fontId="2" fillId="3" borderId="0" xfId="1" applyNumberFormat="1" applyFont="1" applyFill="1" applyAlignment="1">
      <alignment vertical="center"/>
    </xf>
    <xf numFmtId="9" fontId="2" fillId="6" borderId="0" xfId="1" applyNumberFormat="1" applyFont="1" applyFill="1" applyAlignment="1">
      <alignment vertical="center"/>
    </xf>
    <xf numFmtId="0" fontId="2" fillId="3" borderId="0" xfId="1" applyFont="1" applyFill="1" applyAlignment="1">
      <alignment vertical="center" wrapText="1"/>
    </xf>
    <xf numFmtId="0" fontId="4" fillId="10" borderId="0" xfId="1" applyFont="1" applyFill="1" applyAlignment="1">
      <alignment horizontal="center" vertical="center"/>
    </xf>
    <xf numFmtId="0" fontId="5" fillId="5" borderId="0" xfId="1" applyFont="1" applyFill="1" applyAlignment="1">
      <alignment horizontal="center" vertical="center" wrapText="1"/>
    </xf>
    <xf numFmtId="0" fontId="6" fillId="2" borderId="0" xfId="1" applyFont="1" applyFill="1" applyAlignment="1">
      <alignment horizontal="center" vertical="center" wrapText="1"/>
    </xf>
    <xf numFmtId="0" fontId="5" fillId="5" borderId="0" xfId="1" applyFont="1" applyFill="1" applyAlignment="1">
      <alignment vertical="top" wrapText="1"/>
    </xf>
    <xf numFmtId="1" fontId="2" fillId="3" borderId="0" xfId="1" applyNumberFormat="1" applyFont="1" applyFill="1" applyAlignment="1">
      <alignment vertical="top" wrapText="1"/>
    </xf>
    <xf numFmtId="2" fontId="2" fillId="3" borderId="0" xfId="1" applyNumberFormat="1" applyFont="1" applyFill="1" applyAlignment="1">
      <alignment vertical="top" wrapText="1"/>
    </xf>
    <xf numFmtId="0" fontId="2" fillId="6" borderId="0" xfId="1" applyFont="1" applyFill="1" applyAlignment="1">
      <alignment vertical="top" wrapText="1"/>
    </xf>
    <xf numFmtId="0" fontId="2" fillId="3" borderId="0" xfId="1" applyFont="1" applyFill="1" applyAlignment="1">
      <alignment vertical="top" wrapText="1"/>
    </xf>
    <xf numFmtId="0" fontId="0" fillId="0" borderId="0" xfId="1" applyFont="1" applyAlignment="1">
      <alignment vertical="top" wrapText="1"/>
    </xf>
    <xf numFmtId="178" fontId="2" fillId="3" borderId="0" xfId="1" applyNumberFormat="1" applyFont="1" applyFill="1" applyAlignment="1">
      <alignment vertical="top" wrapText="1"/>
    </xf>
    <xf numFmtId="0" fontId="2" fillId="0" borderId="0" xfId="1" applyFont="1" applyAlignment="1">
      <alignment vertical="top" wrapText="1"/>
    </xf>
    <xf numFmtId="0" fontId="6" fillId="0" borderId="0" xfId="1" applyFont="1"/>
    <xf numFmtId="0" fontId="7" fillId="11" borderId="0" xfId="1" applyFont="1" applyFill="1" applyAlignment="1">
      <alignment vertical="top" wrapText="1"/>
    </xf>
    <xf numFmtId="2" fontId="2" fillId="0" borderId="0" xfId="1" applyNumberFormat="1" applyFont="1" applyAlignment="1">
      <alignment vertical="center"/>
    </xf>
    <xf numFmtId="0" fontId="1" fillId="9" borderId="0" xfId="1" applyFont="1" applyFill="1" applyAlignment="1">
      <alignment horizontal="left" vertical="center"/>
    </xf>
    <xf numFmtId="0" fontId="0" fillId="0" borderId="0" xfId="0"/>
    <xf numFmtId="0" fontId="1" fillId="8" borderId="0" xfId="1" applyFont="1" applyFill="1" applyAlignment="1">
      <alignment horizontal="left" vertical="center"/>
    </xf>
    <xf numFmtId="0" fontId="2" fillId="5" borderId="0" xfId="1" applyFont="1" applyFill="1" applyAlignment="1">
      <alignment horizontal="center" vertical="center" wrapText="1"/>
    </xf>
    <xf numFmtId="0" fontId="3" fillId="4" borderId="0" xfId="1" applyFont="1" applyFill="1" applyAlignment="1">
      <alignment horizontal="center" vertical="center"/>
    </xf>
  </cellXfs>
  <cellStyles count="2">
    <cellStyle name="Normal" xfId="1" xr:uid="{00000000-0005-0000-0000-000000000000}"/>
    <cellStyle name="표준" xfId="0" builtinId="0"/>
  </cellStyles>
  <dxfs count="7">
    <dxf>
      <font>
        <b/>
        <color rgb="FF1F2933"/>
      </font>
      <fill>
        <patternFill patternType="solid">
          <bgColor rgb="FFFBE0E0"/>
        </patternFill>
      </fill>
    </dxf>
    <dxf>
      <font>
        <b/>
        <color rgb="FF1F2933"/>
      </font>
      <fill>
        <patternFill patternType="solid">
          <bgColor rgb="FFFFF1CC"/>
        </patternFill>
      </fill>
    </dxf>
    <dxf>
      <font>
        <b/>
        <color rgb="FF1F2933"/>
      </font>
      <fill>
        <patternFill patternType="solid">
          <bgColor rgb="FFDFF4E7"/>
        </patternFill>
      </fill>
    </dxf>
    <dxf>
      <font>
        <b/>
        <color rgb="FF1F2933"/>
      </font>
      <fill>
        <patternFill patternType="solid">
          <bgColor rgb="FFFFF1CC"/>
        </patternFill>
      </fill>
    </dxf>
    <dxf>
      <font>
        <b/>
        <color rgb="FF1F2933"/>
      </font>
      <fill>
        <patternFill patternType="solid">
          <bgColor rgb="FFFBE0E0"/>
        </patternFill>
      </fill>
    </dxf>
    <dxf>
      <font>
        <b/>
        <color rgb="FF1F2933"/>
      </font>
      <fill>
        <patternFill patternType="solid">
          <bgColor rgb="FFFFF1CC"/>
        </patternFill>
      </fill>
    </dxf>
    <dxf>
      <font>
        <b/>
        <color rgb="FF1F2933"/>
      </font>
      <fill>
        <patternFill patternType="solid">
          <bgColor rgb="FFDFF4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r>
              <a:rPr lang="ko-KR" altLang="en-US"/>
              <a:t>몬스터 위험도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Risk Score</c:v>
          </c:tx>
          <c:spPr>
            <a:ln>
              <a:prstDash val="solid"/>
            </a:ln>
          </c:spPr>
          <c:invertIfNegative val="1"/>
          <c:cat>
            <c:strRef>
              <c:f>Dashboard!$A$17:$A$28</c:f>
              <c:strCache>
                <c:ptCount val="12"/>
                <c:pt idx="0">
                  <c:v>붉은 송곳니</c:v>
                </c:pt>
                <c:pt idx="1">
                  <c:v>검은 송곳니</c:v>
                </c:pt>
                <c:pt idx="2">
                  <c:v>공포 파수꾼</c:v>
                </c:pt>
                <c:pt idx="3">
                  <c:v>암흑 파수꾼</c:v>
                </c:pt>
                <c:pt idx="4">
                  <c:v>황혼 추적자</c:v>
                </c:pt>
                <c:pt idx="5">
                  <c:v>그림자 추적자</c:v>
                </c:pt>
                <c:pt idx="6">
                  <c:v>분노의 발톱</c:v>
                </c:pt>
                <c:pt idx="7">
                  <c:v>칠흑 방패</c:v>
                </c:pt>
                <c:pt idx="8">
                  <c:v>강화 붉은 송곳니</c:v>
                </c:pt>
                <c:pt idx="9">
                  <c:v>강화 검은 송곳니</c:v>
                </c:pt>
                <c:pt idx="10">
                  <c:v>강화 공포 파수꾼</c:v>
                </c:pt>
                <c:pt idx="11">
                  <c:v>강화 그림자 추적자</c:v>
                </c:pt>
              </c:strCache>
            </c:strRef>
          </c:cat>
          <c:val>
            <c:numRef>
              <c:f>Dashboard!$B$17:$B$28</c:f>
              <c:numCache>
                <c:formatCode>0.0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1F-433A-BC37-B1DA9B4BA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;;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r>
              <a:t>타일 코스트 곡선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Current Cost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TileCost!$B$5:$B$15</c:f>
              <c:numCache>
                <c:formatCode>0</c:formatCode>
                <c:ptCount val="11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  <c:pt idx="7">
                  <c:v>256</c:v>
                </c:pt>
                <c:pt idx="8">
                  <c:v>512</c:v>
                </c:pt>
                <c:pt idx="9">
                  <c:v>1024</c:v>
                </c:pt>
                <c:pt idx="10">
                  <c:v>2048</c:v>
                </c:pt>
              </c:numCache>
            </c:numRef>
          </c:cat>
          <c:val>
            <c:numRef>
              <c:f>TileCost!$C$5:$C$15</c:f>
              <c:numCache>
                <c:formatCode>0</c:formatCode>
                <c:ptCount val="11"/>
                <c:pt idx="0">
                  <c:v>3</c:v>
                </c:pt>
                <c:pt idx="1">
                  <c:v>6</c:v>
                </c:pt>
                <c:pt idx="2">
                  <c:v>9</c:v>
                </c:pt>
                <c:pt idx="3">
                  <c:v>12</c:v>
                </c:pt>
                <c:pt idx="4">
                  <c:v>15</c:v>
                </c:pt>
                <c:pt idx="5">
                  <c:v>18</c:v>
                </c:pt>
                <c:pt idx="6">
                  <c:v>21</c:v>
                </c:pt>
                <c:pt idx="7">
                  <c:v>24</c:v>
                </c:pt>
                <c:pt idx="8">
                  <c:v>27</c:v>
                </c:pt>
                <c:pt idx="9">
                  <c:v>30</c:v>
                </c:pt>
                <c:pt idx="10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7A-4C4F-9CD3-17E2CF9A586E}"/>
            </c:ext>
          </c:extLst>
        </c:ser>
        <c:ser>
          <c:idx val="1"/>
          <c:order val="1"/>
          <c:tx>
            <c:v>Target Cost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TileCost!$B$5:$B$15</c:f>
              <c:numCache>
                <c:formatCode>0</c:formatCode>
                <c:ptCount val="11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  <c:pt idx="7">
                  <c:v>256</c:v>
                </c:pt>
                <c:pt idx="8">
                  <c:v>512</c:v>
                </c:pt>
                <c:pt idx="9">
                  <c:v>1024</c:v>
                </c:pt>
                <c:pt idx="10">
                  <c:v>2048</c:v>
                </c:pt>
              </c:numCache>
            </c:numRef>
          </c:cat>
          <c:val>
            <c:numRef>
              <c:f>TileCost!$D$5:$D$15</c:f>
              <c:numCache>
                <c:formatCode>0</c:formatCode>
                <c:ptCount val="11"/>
                <c:pt idx="0">
                  <c:v>3</c:v>
                </c:pt>
                <c:pt idx="1">
                  <c:v>6</c:v>
                </c:pt>
                <c:pt idx="2">
                  <c:v>9</c:v>
                </c:pt>
                <c:pt idx="3">
                  <c:v>12</c:v>
                </c:pt>
                <c:pt idx="4">
                  <c:v>15</c:v>
                </c:pt>
                <c:pt idx="5">
                  <c:v>18</c:v>
                </c:pt>
                <c:pt idx="6">
                  <c:v>21</c:v>
                </c:pt>
                <c:pt idx="7">
                  <c:v>24</c:v>
                </c:pt>
                <c:pt idx="8">
                  <c:v>27</c:v>
                </c:pt>
                <c:pt idx="9">
                  <c:v>30</c:v>
                </c:pt>
                <c:pt idx="10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37A-4C4F-9CD3-17E2CF9A58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;;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r>
              <a:t>점수 시나리오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Difficulty</c:v>
          </c:tx>
          <c:spPr>
            <a:ln>
              <a:prstDash val="solid"/>
            </a:ln>
          </c:spPr>
          <c:invertIfNegative val="1"/>
          <c:cat>
            <c:strRef>
              <c:f>RewardsScore!$A$10:$A$13</c:f>
              <c:strCache>
                <c:ptCount val="4"/>
                <c:pt idx="0">
                  <c:v>learn-howl</c:v>
                </c:pt>
                <c:pt idx="1">
                  <c:v>learn-bioluminescence</c:v>
                </c:pt>
                <c:pt idx="2">
                  <c:v>learn-sharp-senses</c:v>
                </c:pt>
                <c:pt idx="3">
                  <c:v>learn-light-split</c:v>
                </c:pt>
              </c:strCache>
            </c:strRef>
          </c:cat>
          <c:val>
            <c:numRef>
              <c:f>RewardsScore!$B$10:$B$13</c:f>
              <c:numCache>
                <c:formatCode>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64-4909-88A1-C750E3679BB2}"/>
            </c:ext>
          </c:extLst>
        </c:ser>
        <c:ser>
          <c:idx val="1"/>
          <c:order val="1"/>
          <c:tx>
            <c:v>Remaining Moves</c:v>
          </c:tx>
          <c:spPr>
            <a:ln>
              <a:prstDash val="solid"/>
            </a:ln>
          </c:spPr>
          <c:invertIfNegative val="1"/>
          <c:cat>
            <c:strRef>
              <c:f>RewardsScore!$A$10:$A$13</c:f>
              <c:strCache>
                <c:ptCount val="4"/>
                <c:pt idx="0">
                  <c:v>learn-howl</c:v>
                </c:pt>
                <c:pt idx="1">
                  <c:v>learn-bioluminescence</c:v>
                </c:pt>
                <c:pt idx="2">
                  <c:v>learn-sharp-senses</c:v>
                </c:pt>
                <c:pt idx="3">
                  <c:v>learn-light-split</c:v>
                </c:pt>
              </c:strCache>
            </c:strRef>
          </c:cat>
          <c:val>
            <c:numRef>
              <c:f>RewardsScore!$C$10:$C$13</c:f>
              <c:numCache>
                <c:formatCode>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64-4909-88A1-C750E3679BB2}"/>
            </c:ext>
          </c:extLst>
        </c:ser>
        <c:ser>
          <c:idx val="2"/>
          <c:order val="2"/>
          <c:tx>
            <c:v>OverCost</c:v>
          </c:tx>
          <c:spPr>
            <a:ln>
              <a:prstDash val="solid"/>
            </a:ln>
          </c:spPr>
          <c:invertIfNegative val="1"/>
          <c:cat>
            <c:strRef>
              <c:f>RewardsScore!$A$10:$A$13</c:f>
              <c:strCache>
                <c:ptCount val="4"/>
                <c:pt idx="0">
                  <c:v>learn-howl</c:v>
                </c:pt>
                <c:pt idx="1">
                  <c:v>learn-bioluminescence</c:v>
                </c:pt>
                <c:pt idx="2">
                  <c:v>learn-sharp-senses</c:v>
                </c:pt>
                <c:pt idx="3">
                  <c:v>learn-light-split</c:v>
                </c:pt>
              </c:strCache>
            </c:strRef>
          </c:cat>
          <c:val>
            <c:numRef>
              <c:f>RewardsScore!$D$10:$D$13</c:f>
              <c:numCache>
                <c:formatCode>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64-4909-88A1-C750E3679BB2}"/>
            </c:ext>
          </c:extLst>
        </c:ser>
        <c:ser>
          <c:idx val="3"/>
          <c:order val="3"/>
          <c:tx>
            <c:v>Turn Count</c:v>
          </c:tx>
          <c:spPr>
            <a:ln>
              <a:prstDash val="solid"/>
            </a:ln>
          </c:spPr>
          <c:invertIfNegative val="1"/>
          <c:cat>
            <c:strRef>
              <c:f>RewardsScore!$A$10:$A$13</c:f>
              <c:strCache>
                <c:ptCount val="4"/>
                <c:pt idx="0">
                  <c:v>learn-howl</c:v>
                </c:pt>
                <c:pt idx="1">
                  <c:v>learn-bioluminescence</c:v>
                </c:pt>
                <c:pt idx="2">
                  <c:v>learn-sharp-senses</c:v>
                </c:pt>
                <c:pt idx="3">
                  <c:v>learn-light-split</c:v>
                </c:pt>
              </c:strCache>
            </c:strRef>
          </c:cat>
          <c:val>
            <c:numRef>
              <c:f>RewardsScore!$E$10:$E$13</c:f>
              <c:numCache>
                <c:formatCode>0</c:formatCode>
                <c:ptCount val="4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764-4909-88A1-C750E3679BB2}"/>
            </c:ext>
          </c:extLst>
        </c:ser>
        <c:ser>
          <c:idx val="4"/>
          <c:order val="4"/>
          <c:tx>
            <c:v>Score</c:v>
          </c:tx>
          <c:spPr>
            <a:ln>
              <a:prstDash val="solid"/>
            </a:ln>
          </c:spPr>
          <c:invertIfNegative val="1"/>
          <c:cat>
            <c:strRef>
              <c:f>RewardsScore!$A$10:$A$13</c:f>
              <c:strCache>
                <c:ptCount val="4"/>
                <c:pt idx="0">
                  <c:v>learn-howl</c:v>
                </c:pt>
                <c:pt idx="1">
                  <c:v>learn-bioluminescence</c:v>
                </c:pt>
                <c:pt idx="2">
                  <c:v>learn-sharp-senses</c:v>
                </c:pt>
                <c:pt idx="3">
                  <c:v>learn-light-split</c:v>
                </c:pt>
              </c:strCache>
            </c:strRef>
          </c:cat>
          <c:val>
            <c:numRef>
              <c:f>RewardsScore!$F$10:$F$13</c:f>
              <c:numCache>
                <c:formatCode>0</c:formatCode>
                <c:ptCount val="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764-4909-88A1-C750E3679B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;;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14</xdr:row>
      <xdr:rowOff>0</xdr:rowOff>
    </xdr:from>
    <xdr:to>
      <xdr:col>11</xdr:col>
      <xdr:colOff>0</xdr:colOff>
      <xdr:row>32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3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</xdr:row>
      <xdr:rowOff>0</xdr:rowOff>
    </xdr:from>
    <xdr:to>
      <xdr:col>14</xdr:col>
      <xdr:colOff>0</xdr:colOff>
      <xdr:row>21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ileCostTable" displayName="TileCostTable" ref="A4:G16">
  <autoFilter ref="A4:G16" xr:uid="{00000000-0009-0000-0100-000001000000}"/>
  <tableColumns count="7">
    <tableColumn id="1" xr3:uid="{00000000-0010-0000-0000-000001000000}" name="Tier"/>
    <tableColumn id="2" xr3:uid="{00000000-0010-0000-0000-000002000000}" name="Tile"/>
    <tableColumn id="3" xr3:uid="{00000000-0010-0000-0000-000003000000}" name="Current Cost"/>
    <tableColumn id="4" xr3:uid="{00000000-0010-0000-0000-000004000000}" name="Target Cost"/>
    <tableColumn id="5" xr3:uid="{00000000-0010-0000-0000-000005000000}" name="Cost / Tile"/>
    <tableColumn id="6" xr3:uid="{00000000-0010-0000-0000-000006000000}" name="Target Delta"/>
    <tableColumn id="7" xr3:uid="{00000000-0010-0000-0000-000007000000}" name="메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killBalanceTable" displayName="SkillBalanceTable" ref="A4:N46">
  <autoFilter ref="A4:N46" xr:uid="{00000000-0009-0000-0100-000002000000}"/>
  <tableColumns count="14">
    <tableColumn id="1" xr3:uid="{00000000-0010-0000-0100-000001000000}" name="Skill ID"/>
    <tableColumn id="2" xr3:uid="{00000000-0010-0000-0100-000002000000}" name="Skill Name"/>
    <tableColumn id="3" xr3:uid="{00000000-0010-0000-0100-000003000000}" name="Type"/>
    <tableColumn id="4" xr3:uid="{00000000-0010-0000-0100-000004000000}" name="Effect Kind"/>
    <tableColumn id="5" xr3:uid="{00000000-0010-0000-0100-000005000000}" name="Damage Stat"/>
    <tableColumn id="6" xr3:uid="{00000000-0010-0000-0100-000006000000}" name="Availability"/>
    <tableColumn id="7" xr3:uid="{00000000-0010-0000-0100-000007000000}" name="Cost"/>
    <tableColumn id="8" xr3:uid="{00000000-0010-0000-0100-000008000000}" name="Power"/>
    <tableColumn id="9" xr3:uid="{00000000-0010-0000-0100-000009000000}" name="Effective Power"/>
    <tableColumn id="10" xr3:uid="{00000000-0010-0000-0100-00000A000000}" name="Est Damage"/>
    <tableColumn id="11" xr3:uid="{00000000-0010-0000-0100-00000B000000}" name="Shield/Heal"/>
    <tableColumn id="12" xr3:uid="{00000000-0010-0000-0100-00000C000000}" name="Damage / Cost"/>
    <tableColumn id="13" xr3:uid="{00000000-0010-0000-0100-00000D000000}" name="Effect Summary"/>
    <tableColumn id="14" xr3:uid="{00000000-0010-0000-0100-00000E000000}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nemyRosterTable" displayName="EnemyRosterTable" ref="A4:AA16">
  <autoFilter ref="A4:AA16" xr:uid="{00000000-0009-0000-0100-000003000000}"/>
  <tableColumns count="27">
    <tableColumn id="1" xr3:uid="{00000000-0010-0000-0200-000001000000}" name="Enemy"/>
    <tableColumn id="2" xr3:uid="{00000000-0010-0000-0200-000002000000}" name="Encounter Rank"/>
    <tableColumn id="3" xr3:uid="{00000000-0010-0000-0200-000003000000}" name="AI Strength"/>
    <tableColumn id="4" xr3:uid="{00000000-0010-0000-0200-000004000000}" name="AI Bias"/>
    <tableColumn id="5" xr3:uid="{00000000-0010-0000-0200-000005000000}" name="Debuff Pattern"/>
    <tableColumn id="6" xr3:uid="{00000000-0010-0000-0200-000006000000}" name="Max HP"/>
    <tableColumn id="7" xr3:uid="{00000000-0010-0000-0200-000007000000}" name="Attack Stat"/>
    <tableColumn id="8" xr3:uid="{00000000-0010-0000-0200-000008000000}" name="Defense Stat"/>
    <tableColumn id="9" xr3:uid="{00000000-0010-0000-0200-000009000000}" name="Defense Block"/>
    <tableColumn id="10" xr3:uid="{00000000-0010-0000-0200-00000A000000}" name="Debuff Power"/>
    <tableColumn id="11" xr3:uid="{00000000-0010-0000-0200-00000B000000}" name="Crit %"/>
    <tableColumn id="12" xr3:uid="{00000000-0010-0000-0200-00000C000000}" name="Crit Mult"/>
    <tableColumn id="13" xr3:uid="{00000000-0010-0000-0200-00000D000000}" name="Actions / Turn"/>
    <tableColumn id="14" xr3:uid="{00000000-0010-0000-0200-00000E000000}" name="Debuff Interval"/>
    <tableColumn id="15" xr3:uid="{00000000-0010-0000-0200-00000F000000}" name="Skill 1"/>
    <tableColumn id="16" xr3:uid="{00000000-0010-0000-0200-000010000000}" name="Skill 2"/>
    <tableColumn id="17" xr3:uid="{00000000-0010-0000-0200-000011000000}" name="Skill 3"/>
    <tableColumn id="18" xr3:uid="{00000000-0010-0000-0200-000012000000}" name="Skill 4"/>
    <tableColumn id="19" xr3:uid="{00000000-0010-0000-0200-000013000000}" name="Attack Chance"/>
    <tableColumn id="20" xr3:uid="{00000000-0010-0000-0200-000014000000}" name="Defense Chance"/>
    <tableColumn id="21" xr3:uid="{00000000-0010-0000-0200-000015000000}" name="Strength Mult"/>
    <tableColumn id="22" xr3:uid="{00000000-0010-0000-0200-000016000000}" name="Eff Attack"/>
    <tableColumn id="23" xr3:uid="{00000000-0010-0000-0200-000017000000}" name="Eff Block"/>
    <tableColumn id="24" xr3:uid="{00000000-0010-0000-0200-000018000000}" name="Exp Atk / Turn"/>
    <tableColumn id="25" xr3:uid="{00000000-0010-0000-0200-000019000000}" name="TTK Best Hit"/>
    <tableColumn id="26" xr3:uid="{00000000-0010-0000-0200-00001A000000}" name="Risk Score"/>
    <tableColumn id="27" xr3:uid="{00000000-0010-0000-0200-00001B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ombatScenarioTable" displayName="CombatScenarioTable" ref="A4:Q24">
  <autoFilter ref="A4:Q24" xr:uid="{00000000-0009-0000-0100-000004000000}"/>
  <tableColumns count="17">
    <tableColumn id="1" xr3:uid="{00000000-0010-0000-0300-000001000000}" name="Stage"/>
    <tableColumn id="2" xr3:uid="{00000000-0010-0000-0300-000002000000}" name="Enemy"/>
    <tableColumn id="3" xr3:uid="{00000000-0010-0000-0300-000003000000}" name="Planned Turns"/>
    <tableColumn id="4" xr3:uid="{00000000-0010-0000-0300-000004000000}" name="Remaining Moves"/>
    <tableColumn id="5" xr3:uid="{00000000-0010-0000-0300-000005000000}" name="OverCost"/>
    <tableColumn id="6" xr3:uid="{00000000-0010-0000-0300-000006000000}" name="Main Attack Skill"/>
    <tableColumn id="7" xr3:uid="{00000000-0010-0000-0300-000007000000}" name="Main Defense Skill"/>
    <tableColumn id="8" xr3:uid="{00000000-0010-0000-0300-000008000000}" name="Enemy HP"/>
    <tableColumn id="9" xr3:uid="{00000000-0010-0000-0300-000009000000}" name="Attack Damage"/>
    <tableColumn id="10" xr3:uid="{00000000-0010-0000-0300-00000A000000}" name="Hits Needed"/>
    <tableColumn id="11" xr3:uid="{00000000-0010-0000-0300-00000B000000}" name="Enemy Exp Atk"/>
    <tableColumn id="12" xr3:uid="{00000000-0010-0000-0300-00000C000000}" name="Block / Turn"/>
    <tableColumn id="13" xr3:uid="{00000000-0010-0000-0300-00000D000000}" name="Expected Net Damage"/>
    <tableColumn id="14" xr3:uid="{00000000-0010-0000-0300-00000E000000}" name="HP Risk"/>
    <tableColumn id="15" xr3:uid="{00000000-0010-0000-0300-00000F000000}" name="Score"/>
    <tableColumn id="16" xr3:uid="{00000000-0010-0000-0300-000010000000}" name="Status"/>
    <tableColumn id="17" xr3:uid="{00000000-0010-0000-0300-000011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wardTable" displayName="RewardTable" ref="A4:Q26">
  <autoFilter ref="A4:Q26" xr:uid="{00000000-0009-0000-0100-000005000000}"/>
  <tableColumns count="17">
    <tableColumn id="1" xr3:uid="{00000000-0010-0000-0400-000001000000}" name="Reward ID"/>
    <tableColumn id="2" xr3:uid="{00000000-0010-0000-0400-000002000000}" name="Display Name"/>
    <tableColumn id="3" xr3:uid="{00000000-0010-0000-0400-000003000000}" name="Kind"/>
    <tableColumn id="4" xr3:uid="{00000000-0010-0000-0400-000004000000}" name="Skill Learned"/>
    <tableColumn id="5" xr3:uid="{00000000-0010-0000-0400-000005000000}" name="Heal % Max HP"/>
    <tableColumn id="6" xr3:uid="{00000000-0010-0000-0400-000006000000}" name="Heal Amount"/>
    <tableColumn id="7" xr3:uid="{00000000-0010-0000-0400-000007000000}" name="Extra Move"/>
    <tableColumn id="8" xr3:uid="{00000000-0010-0000-0400-000008000000}" name="Temp Atk"/>
    <tableColumn id="9" xr3:uid="{00000000-0010-0000-0400-000009000000}" name="Temp Def"/>
    <tableColumn id="10" xr3:uid="{00000000-0010-0000-0400-00000A000000}" name="Temp Move"/>
    <tableColumn id="11" xr3:uid="{00000000-0010-0000-0400-00000B000000}" name="Permanent HP"/>
    <tableColumn id="12" xr3:uid="{00000000-0010-0000-0400-00000C000000}" name="Permanent Atk"/>
    <tableColumn id="13" xr3:uid="{00000000-0010-0000-0400-00000D000000}" name="Permanent Def"/>
    <tableColumn id="14" xr3:uid="{00000000-0010-0000-0400-00000E000000}" name="Crit Chance Bonus"/>
    <tableColumn id="15" xr3:uid="{00000000-0010-0000-0400-00000F000000}" name="Crit Damage Bonus"/>
    <tableColumn id="16" xr3:uid="{00000000-0010-0000-0400-000010000000}" name="Enemy Skill Offer %"/>
    <tableColumn id="17" xr3:uid="{00000000-0010-0000-0400-000011000000}" name="Encounter Tex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coreScenarioTable" displayName="ScoreScenarioTable" ref="A29:F33">
  <autoFilter ref="A29:F33" xr:uid="{00000000-0009-0000-0100-000006000000}"/>
  <tableColumns count="6">
    <tableColumn id="1" xr3:uid="{00000000-0010-0000-0500-000001000000}" name="빠른 승리"/>
    <tableColumn id="2" xr3:uid="{00000000-0010-0000-0500-000002000000}" name="1"/>
    <tableColumn id="3" xr3:uid="{00000000-0010-0000-0500-000003000000}" name="2"/>
    <tableColumn id="4" xr3:uid="{00000000-0010-0000-0500-000004000000}" name="0"/>
    <tableColumn id="5" xr3:uid="{00000000-0010-0000-0500-000005000000}" name="3"/>
    <tableColumn id="6" xr3:uid="{00000000-0010-0000-0500-000006000000}" name="열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evelopmentHandoffTable" displayName="DevelopmentHandoffTable" ref="A4:F10">
  <autoFilter ref="A4:F10" xr:uid="{00000000-0009-0000-0100-000007000000}"/>
  <tableColumns count="6">
    <tableColumn id="1" xr3:uid="{00000000-0010-0000-0600-000001000000}" name="튜닝 항목"/>
    <tableColumn id="2" xr3:uid="{00000000-0010-0000-0600-000002000000}" name="참조 시트"/>
    <tableColumn id="3" xr3:uid="{00000000-0010-0000-0600-000003000000}" name="요청 값/범위"/>
    <tableColumn id="4" xr3:uid="{00000000-0010-0000-0600-000004000000}" name="기획 의도"/>
    <tableColumn id="5" xr3:uid="{00000000-0010-0000-0600-000005000000}" name="우선순위"/>
    <tableColumn id="6" xr3:uid="{00000000-0010-0000-0600-000006000000}" name="개발 확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"/>
  <sheetViews>
    <sheetView showGridLines="0" tabSelected="1" workbookViewId="0">
      <selection sqref="A1:K1"/>
    </sheetView>
  </sheetViews>
  <sheetFormatPr defaultRowHeight="14.25"/>
  <cols>
    <col min="1" max="1" width="18.875" customWidth="1"/>
    <col min="2" max="2" width="15.5" customWidth="1"/>
    <col min="3" max="3" width="4" customWidth="1"/>
    <col min="4" max="4" width="18.875" customWidth="1"/>
    <col min="5" max="5" width="15.5" customWidth="1"/>
    <col min="6" max="6" width="4" customWidth="1"/>
    <col min="7" max="7" width="18.875" customWidth="1"/>
    <col min="8" max="8" width="15.5" customWidth="1"/>
    <col min="9" max="9" width="4" customWidth="1"/>
    <col min="10" max="10" width="18.125" customWidth="1"/>
    <col min="11" max="11" width="15.5" customWidth="1"/>
  </cols>
  <sheetData>
    <row r="1" spans="1:11" ht="25.5" customHeight="1">
      <c r="A1" s="36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19.5" customHeight="1">
      <c r="A2" s="35" t="s">
        <v>1</v>
      </c>
      <c r="B2" s="33"/>
      <c r="C2" s="33"/>
      <c r="D2" s="33"/>
      <c r="E2" s="33"/>
      <c r="F2" s="33"/>
      <c r="G2" s="33"/>
      <c r="H2" s="33"/>
      <c r="I2" s="8"/>
      <c r="J2" s="8"/>
      <c r="K2" s="8"/>
    </row>
    <row r="3" spans="1:11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1">
      <c r="A4" s="32" t="s">
        <v>2</v>
      </c>
      <c r="B4" s="33"/>
      <c r="C4" s="8"/>
      <c r="D4" s="34" t="s">
        <v>3</v>
      </c>
      <c r="E4" s="33"/>
      <c r="F4" s="8"/>
      <c r="G4" s="32" t="s">
        <v>4</v>
      </c>
      <c r="H4" s="33"/>
      <c r="I4" s="8"/>
      <c r="J4" s="8"/>
      <c r="K4" s="8"/>
    </row>
    <row r="5" spans="1:11">
      <c r="A5" s="2" t="s">
        <v>5</v>
      </c>
      <c r="B5" s="3">
        <v>1</v>
      </c>
      <c r="C5" s="8"/>
      <c r="D5" s="2" t="s">
        <v>6</v>
      </c>
      <c r="E5" s="4">
        <f>Inputs!$B$4</f>
        <v>240</v>
      </c>
      <c r="F5" s="8"/>
      <c r="G5" s="2" t="s">
        <v>7</v>
      </c>
      <c r="H5" s="4">
        <f>COUNTA(Enemies!$A$5:$A$16)</f>
        <v>12</v>
      </c>
      <c r="I5" s="8"/>
      <c r="J5" s="8"/>
      <c r="K5" s="8"/>
    </row>
    <row r="6" spans="1:11">
      <c r="A6" s="2" t="s">
        <v>8</v>
      </c>
      <c r="B6" s="2" t="str">
        <f>INDEX(CombatSim!$B$5:$B$24,MATCH($B$5,CombatSim!$A$5:$A$24,0))</f>
        <v>그림자 늑대</v>
      </c>
      <c r="C6" s="8"/>
      <c r="D6" s="2" t="s">
        <v>9</v>
      </c>
      <c r="E6" s="4">
        <f>Inputs!$B$5</f>
        <v>10</v>
      </c>
      <c r="F6" s="8"/>
      <c r="G6" s="2" t="s">
        <v>10</v>
      </c>
      <c r="H6" s="4">
        <f>AVERAGE(Enemies!$Z$5:$Z$16)</f>
        <v>57.45000000000001</v>
      </c>
      <c r="I6" s="8"/>
      <c r="J6" s="8"/>
      <c r="K6" s="8"/>
    </row>
    <row r="7" spans="1:11">
      <c r="A7" s="2" t="s">
        <v>11</v>
      </c>
      <c r="B7" s="2" t="str">
        <f>INDEX(CombatSim!$P$5:$P$24,MATCH($B$5,CombatSim!$A$5:$A$24,0))</f>
        <v>OK</v>
      </c>
      <c r="C7" s="8"/>
      <c r="D7" s="2" t="s">
        <v>12</v>
      </c>
      <c r="E7" s="4">
        <f>Inputs!$B$26</f>
        <v>12</v>
      </c>
      <c r="F7" s="8"/>
      <c r="G7" s="2" t="s">
        <v>13</v>
      </c>
      <c r="H7" s="4">
        <f>MAX(Enemies!$Z$5:$Z$16)</f>
        <v>134</v>
      </c>
      <c r="I7" s="8"/>
      <c r="J7" s="8"/>
      <c r="K7" s="8"/>
    </row>
    <row r="8" spans="1:11">
      <c r="A8" s="2" t="s">
        <v>14</v>
      </c>
      <c r="B8" s="5">
        <f>INDEX(CombatSim!$O$5:$O$24,MATCH($B$5,CombatSim!$A$5:$A$24,0))</f>
        <v>2310</v>
      </c>
      <c r="C8" s="8"/>
      <c r="D8" s="2" t="s">
        <v>15</v>
      </c>
      <c r="E8" s="4">
        <f>Inputs!$B$27</f>
        <v>36</v>
      </c>
      <c r="F8" s="8"/>
      <c r="G8" s="2" t="s">
        <v>16</v>
      </c>
      <c r="H8" s="4">
        <f>AVERAGE(Enemies!$Y$5:$Y$16)</f>
        <v>1</v>
      </c>
      <c r="I8" s="8"/>
      <c r="J8" s="8"/>
      <c r="K8" s="8"/>
    </row>
    <row r="9" spans="1:11">
      <c r="A9" s="2" t="s">
        <v>17</v>
      </c>
      <c r="B9" s="6">
        <f>INDEX(CombatSim!$N$5:$N$24,MATCH($B$5,CombatSim!$A$5:$A$24,0))</f>
        <v>0</v>
      </c>
      <c r="C9" s="8"/>
      <c r="D9" s="2" t="s">
        <v>18</v>
      </c>
      <c r="E9" s="2" t="str">
        <f>INDEX(Skills!$B$5:$B$46,MATCH(MAX(Skills!$J$5:$J$46),Skills!$J$5:$J$46,0))</f>
        <v>생체 발광</v>
      </c>
      <c r="F9" s="8"/>
      <c r="G9" s="2" t="s">
        <v>19</v>
      </c>
      <c r="H9" s="4">
        <f>COUNTIF(Enemies!$C$5:$C$16,"Enhanced")</f>
        <v>6</v>
      </c>
      <c r="I9" s="8"/>
      <c r="J9" s="8"/>
      <c r="K9" s="8"/>
    </row>
    <row r="10" spans="1:11">
      <c r="A10" s="2" t="s">
        <v>20</v>
      </c>
      <c r="B10" s="4">
        <f>INDEX(CombatSim!$C$5:$C$24,MATCH($B$5,CombatSim!$A$5:$A$24,0))</f>
        <v>6</v>
      </c>
      <c r="C10" s="8"/>
      <c r="D10" s="2" t="s">
        <v>21</v>
      </c>
      <c r="E10" s="4">
        <f>MAX(Skills!$J$5:$J$46)</f>
        <v>3600</v>
      </c>
      <c r="F10" s="8"/>
      <c r="G10" s="2" t="s">
        <v>22</v>
      </c>
      <c r="H10" s="4">
        <f>COUNTIF(Enemies!$D$5:$D$16,"AttackHeavy")</f>
        <v>4</v>
      </c>
      <c r="I10" s="8"/>
      <c r="J10" s="8"/>
      <c r="K10" s="8"/>
    </row>
    <row r="11" spans="1:11">
      <c r="A11" s="2" t="s">
        <v>23</v>
      </c>
      <c r="B11" s="4">
        <f>INDEX(CombatSim!$J$5:$J$24,MATCH($B$5,CombatSim!$A$5:$A$24,0))</f>
        <v>1</v>
      </c>
      <c r="C11" s="8"/>
      <c r="D11" s="2" t="s">
        <v>24</v>
      </c>
      <c r="E11" s="4" t="str">
        <f>INDEX(Skills!$B$5:$B$10,MATCH(MAX(Skills!$I$5:$I$10),Skills!$I$5:$I$10,0))</f>
        <v>마무리</v>
      </c>
      <c r="F11" s="8"/>
      <c r="G11" s="2" t="s">
        <v>25</v>
      </c>
      <c r="H11" s="4">
        <f>COUNTIF(Enemies!$C$5:$C$16,"DefenseHeavy")</f>
        <v>0</v>
      </c>
      <c r="I11" s="8"/>
      <c r="J11" s="8"/>
      <c r="K11" s="8"/>
    </row>
    <row r="12" spans="1:11">
      <c r="A12" s="2" t="s">
        <v>26</v>
      </c>
      <c r="B12" s="4" t="s">
        <v>27</v>
      </c>
      <c r="C12" s="8"/>
      <c r="D12" s="2" t="s">
        <v>28</v>
      </c>
      <c r="E12" s="4">
        <f>MAX(Skills!$I$5:$I$10)</f>
        <v>80</v>
      </c>
      <c r="F12" s="8"/>
      <c r="G12" s="2" t="s">
        <v>29</v>
      </c>
      <c r="H12" s="4">
        <f>COUNTIF(Enemies!$C$5:$C$16,"Balanced")</f>
        <v>0</v>
      </c>
      <c r="I12" s="8"/>
      <c r="J12" s="8"/>
      <c r="K12" s="8"/>
    </row>
    <row r="13" spans="1:11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</row>
    <row r="14" spans="1:11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</row>
    <row r="15" spans="1:11">
      <c r="A15" s="34" t="s">
        <v>30</v>
      </c>
      <c r="B15" s="33"/>
      <c r="C15" s="8"/>
      <c r="D15" s="8"/>
      <c r="E15" s="8"/>
      <c r="F15" s="8"/>
      <c r="G15" s="8"/>
      <c r="H15" s="8"/>
      <c r="I15" s="8"/>
      <c r="J15" s="8"/>
      <c r="K15" s="8"/>
    </row>
    <row r="16" spans="1:11">
      <c r="A16" s="7" t="s">
        <v>8</v>
      </c>
      <c r="B16" s="7" t="s">
        <v>31</v>
      </c>
      <c r="C16" s="8"/>
      <c r="D16" s="8"/>
      <c r="E16" s="8"/>
      <c r="F16" s="8"/>
      <c r="G16" s="8"/>
      <c r="H16" s="8"/>
      <c r="I16" s="8"/>
      <c r="J16" s="8"/>
      <c r="K16" s="8"/>
    </row>
    <row r="17" spans="1:11">
      <c r="A17" s="2" t="s">
        <v>32</v>
      </c>
      <c r="B17" s="4" t="e">
        <f>INDEX(Enemies!$W$5:$W$16,MATCH($A17,Enemies!$A$5:$A$16,0))</f>
        <v>#N/A</v>
      </c>
      <c r="C17" s="8"/>
      <c r="D17" s="8"/>
      <c r="E17" s="8"/>
      <c r="F17" s="8"/>
      <c r="G17" s="8"/>
      <c r="H17" s="8"/>
      <c r="I17" s="8"/>
      <c r="J17" s="8"/>
      <c r="K17" s="8"/>
    </row>
    <row r="18" spans="1:11">
      <c r="A18" s="2" t="s">
        <v>33</v>
      </c>
      <c r="B18" s="4" t="e">
        <f>INDEX(Enemies!$W$5:$W$16,MATCH($A18,Enemies!$A$5:$A$16,0))</f>
        <v>#N/A</v>
      </c>
      <c r="C18" s="8"/>
      <c r="D18" s="8"/>
      <c r="E18" s="8"/>
      <c r="F18" s="8"/>
      <c r="G18" s="8"/>
      <c r="H18" s="8"/>
      <c r="I18" s="8"/>
      <c r="J18" s="8"/>
      <c r="K18" s="8"/>
    </row>
    <row r="19" spans="1:11">
      <c r="A19" s="2" t="s">
        <v>34</v>
      </c>
      <c r="B19" s="4" t="e">
        <f>INDEX(Enemies!$W$5:$W$16,MATCH($A19,Enemies!$A$5:$A$16,0))</f>
        <v>#N/A</v>
      </c>
      <c r="C19" s="8"/>
      <c r="D19" s="8"/>
      <c r="E19" s="8"/>
      <c r="F19" s="8"/>
      <c r="G19" s="8"/>
      <c r="H19" s="8"/>
      <c r="I19" s="8"/>
      <c r="J19" s="8"/>
      <c r="K19" s="8"/>
    </row>
    <row r="20" spans="1:11">
      <c r="A20" s="2" t="s">
        <v>35</v>
      </c>
      <c r="B20" s="4" t="e">
        <f>INDEX(Enemies!$W$5:$W$16,MATCH($A20,Enemies!$A$5:$A$16,0))</f>
        <v>#N/A</v>
      </c>
      <c r="C20" s="8"/>
      <c r="D20" s="8"/>
      <c r="E20" s="8"/>
      <c r="F20" s="8"/>
      <c r="G20" s="8"/>
      <c r="H20" s="8"/>
      <c r="I20" s="8"/>
      <c r="J20" s="8"/>
      <c r="K20" s="8"/>
    </row>
    <row r="21" spans="1:11">
      <c r="A21" s="2" t="s">
        <v>36</v>
      </c>
      <c r="B21" s="4" t="e">
        <f>INDEX(Enemies!$W$5:$W$16,MATCH($A21,Enemies!$A$5:$A$16,0))</f>
        <v>#N/A</v>
      </c>
      <c r="C21" s="8"/>
      <c r="D21" s="8"/>
      <c r="E21" s="8"/>
      <c r="F21" s="8"/>
      <c r="G21" s="8"/>
      <c r="H21" s="8"/>
      <c r="I21" s="8"/>
      <c r="J21" s="8"/>
      <c r="K21" s="8"/>
    </row>
    <row r="22" spans="1:11">
      <c r="A22" s="2" t="s">
        <v>37</v>
      </c>
      <c r="B22" s="4" t="e">
        <f>INDEX(Enemies!$W$5:$W$16,MATCH($A22,Enemies!$A$5:$A$16,0))</f>
        <v>#N/A</v>
      </c>
      <c r="C22" s="8"/>
      <c r="D22" s="8"/>
      <c r="E22" s="8"/>
      <c r="F22" s="8"/>
      <c r="G22" s="8"/>
      <c r="H22" s="8"/>
      <c r="I22" s="8"/>
      <c r="J22" s="8"/>
      <c r="K22" s="8"/>
    </row>
    <row r="23" spans="1:11">
      <c r="A23" s="2" t="s">
        <v>38</v>
      </c>
      <c r="B23" s="4" t="e">
        <f>INDEX(Enemies!$W$5:$W$16,MATCH($A23,Enemies!$A$5:$A$16,0))</f>
        <v>#N/A</v>
      </c>
      <c r="C23" s="8"/>
      <c r="D23" s="8"/>
      <c r="E23" s="8"/>
      <c r="F23" s="8"/>
      <c r="G23" s="8"/>
      <c r="H23" s="8"/>
      <c r="I23" s="8"/>
      <c r="J23" s="8"/>
      <c r="K23" s="8"/>
    </row>
    <row r="24" spans="1:11">
      <c r="A24" s="2" t="s">
        <v>39</v>
      </c>
      <c r="B24" s="4" t="e">
        <f>INDEX(Enemies!$W$5:$W$16,MATCH($A24,Enemies!$A$5:$A$16,0))</f>
        <v>#N/A</v>
      </c>
      <c r="C24" s="8"/>
      <c r="D24" s="8"/>
      <c r="E24" s="8"/>
      <c r="F24" s="8"/>
      <c r="G24" s="8"/>
      <c r="H24" s="8"/>
      <c r="I24" s="8"/>
      <c r="J24" s="8"/>
      <c r="K24" s="8"/>
    </row>
    <row r="25" spans="1:11">
      <c r="A25" s="2" t="s">
        <v>40</v>
      </c>
      <c r="B25" s="4" t="e">
        <f>INDEX(Enemies!$W$5:$W$16,MATCH($A25,Enemies!$A$5:$A$16,0))</f>
        <v>#N/A</v>
      </c>
      <c r="C25" s="8"/>
      <c r="D25" s="8"/>
      <c r="E25" s="8"/>
      <c r="F25" s="8"/>
      <c r="G25" s="8"/>
      <c r="H25" s="8"/>
      <c r="I25" s="8"/>
      <c r="J25" s="8"/>
      <c r="K25" s="8"/>
    </row>
    <row r="26" spans="1:11">
      <c r="A26" s="2" t="s">
        <v>41</v>
      </c>
      <c r="B26" s="4" t="e">
        <f>INDEX(Enemies!$W$5:$W$16,MATCH($A26,Enemies!$A$5:$A$16,0))</f>
        <v>#N/A</v>
      </c>
      <c r="C26" s="8"/>
      <c r="D26" s="8"/>
      <c r="E26" s="8"/>
      <c r="F26" s="8"/>
      <c r="G26" s="8"/>
      <c r="H26" s="8"/>
      <c r="I26" s="8"/>
      <c r="J26" s="8"/>
      <c r="K26" s="8"/>
    </row>
    <row r="27" spans="1:11">
      <c r="A27" s="2" t="s">
        <v>42</v>
      </c>
      <c r="B27" s="4" t="e">
        <f>INDEX(Enemies!$W$5:$W$16,MATCH($A27,Enemies!$A$5:$A$16,0))</f>
        <v>#N/A</v>
      </c>
      <c r="C27" s="8"/>
      <c r="D27" s="8"/>
      <c r="E27" s="8"/>
      <c r="F27" s="8"/>
      <c r="G27" s="8"/>
      <c r="H27" s="8"/>
      <c r="I27" s="8"/>
      <c r="J27" s="8"/>
      <c r="K27" s="8"/>
    </row>
    <row r="28" spans="1:11">
      <c r="A28" s="2" t="s">
        <v>43</v>
      </c>
      <c r="B28" s="4" t="e">
        <f>INDEX(Enemies!$W$5:$W$16,MATCH($A28,Enemies!$A$5:$A$16,0))</f>
        <v>#N/A</v>
      </c>
      <c r="C28" s="8"/>
      <c r="D28" s="8"/>
      <c r="E28" s="8"/>
      <c r="F28" s="8"/>
      <c r="G28" s="8"/>
      <c r="H28" s="8"/>
      <c r="I28" s="8"/>
      <c r="J28" s="8"/>
      <c r="K28" s="8"/>
    </row>
  </sheetData>
  <mergeCells count="6">
    <mergeCell ref="A1:K1"/>
    <mergeCell ref="A4:B4"/>
    <mergeCell ref="G4:H4"/>
    <mergeCell ref="A15:B15"/>
    <mergeCell ref="A2:H2"/>
    <mergeCell ref="D4:E4"/>
  </mergeCells>
  <phoneticPr fontId="9" type="noConversion"/>
  <conditionalFormatting sqref="B7">
    <cfRule type="containsText" dxfId="6" priority="1" operator="containsText" text="OK"/>
    <cfRule type="containsText" dxfId="5" priority="2" operator="containsText" text="주의"/>
    <cfRule type="containsText" dxfId="4" priority="3" operator="containsText" text="위험"/>
  </conditionalFormatting>
  <dataValidations count="1">
    <dataValidation type="whole" sqref="B5" xr:uid="{00000000-0002-0000-0000-000000000000}">
      <formula1>1</formula1>
      <formula2>20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7"/>
  <sheetViews>
    <sheetView showGridLines="0" workbookViewId="0"/>
  </sheetViews>
  <sheetFormatPr defaultRowHeight="14.25"/>
  <cols>
    <col min="1" max="1" width="30" customWidth="1"/>
    <col min="2" max="2" width="28" customWidth="1"/>
    <col min="3" max="3" width="12" customWidth="1"/>
    <col min="4" max="4" width="72" customWidth="1"/>
    <col min="5" max="5" width="15.5" customWidth="1"/>
    <col min="6" max="6" width="16" customWidth="1"/>
    <col min="7" max="7" width="24" customWidth="1"/>
    <col min="8" max="8" width="58" customWidth="1"/>
  </cols>
  <sheetData>
    <row r="1" spans="1:8" ht="25.5" customHeight="1">
      <c r="A1" s="18" t="s">
        <v>44</v>
      </c>
      <c r="G1" s="8"/>
      <c r="H1" s="8"/>
    </row>
    <row r="2" spans="1:8" ht="19.5" customHeight="1">
      <c r="A2" s="19" t="s">
        <v>45</v>
      </c>
    </row>
    <row r="3" spans="1:8" ht="15">
      <c r="A3" s="20" t="s">
        <v>46</v>
      </c>
      <c r="B3" s="20" t="s">
        <v>47</v>
      </c>
      <c r="C3" s="20" t="s">
        <v>48</v>
      </c>
      <c r="D3" s="20" t="s">
        <v>49</v>
      </c>
      <c r="E3" s="8"/>
      <c r="F3" s="30" t="s">
        <v>50</v>
      </c>
      <c r="G3" s="30" t="s">
        <v>51</v>
      </c>
      <c r="H3" s="30" t="s">
        <v>52</v>
      </c>
    </row>
    <row r="4" spans="1:8">
      <c r="A4" s="2" t="s">
        <v>53</v>
      </c>
      <c r="B4" s="9">
        <v>240</v>
      </c>
      <c r="C4" s="2" t="s">
        <v>54</v>
      </c>
      <c r="D4" s="2" t="s">
        <v>55</v>
      </c>
      <c r="E4" s="8"/>
      <c r="F4" s="8" t="s">
        <v>56</v>
      </c>
      <c r="G4" s="31">
        <v>0.25</v>
      </c>
      <c r="H4" s="28" t="s">
        <v>57</v>
      </c>
    </row>
    <row r="5" spans="1:8">
      <c r="A5" s="2" t="s">
        <v>58</v>
      </c>
      <c r="B5" s="9">
        <v>10</v>
      </c>
      <c r="C5" s="2" t="s">
        <v>59</v>
      </c>
      <c r="D5" s="2" t="s">
        <v>60</v>
      </c>
      <c r="E5" s="8"/>
      <c r="F5" s="8" t="s">
        <v>61</v>
      </c>
      <c r="G5" s="31">
        <v>0.2857142857142857</v>
      </c>
      <c r="H5" s="28" t="s">
        <v>62</v>
      </c>
    </row>
    <row r="6" spans="1:8">
      <c r="A6" s="2" t="s">
        <v>63</v>
      </c>
      <c r="B6" s="9">
        <v>12</v>
      </c>
      <c r="C6" s="2" t="s">
        <v>64</v>
      </c>
      <c r="D6" s="2" t="s">
        <v>65</v>
      </c>
      <c r="E6" s="8"/>
      <c r="F6" s="8" t="s">
        <v>66</v>
      </c>
      <c r="G6" s="31">
        <v>0.33333333333333331</v>
      </c>
      <c r="H6" s="28" t="s">
        <v>67</v>
      </c>
    </row>
    <row r="7" spans="1:8">
      <c r="A7" s="2" t="s">
        <v>68</v>
      </c>
      <c r="B7" s="9">
        <v>0</v>
      </c>
      <c r="C7" s="2" t="s">
        <v>64</v>
      </c>
      <c r="D7" s="2" t="s">
        <v>69</v>
      </c>
      <c r="E7" s="8"/>
      <c r="F7" s="8" t="s">
        <v>70</v>
      </c>
      <c r="G7" s="31">
        <v>0.4</v>
      </c>
      <c r="H7" s="28" t="s">
        <v>71</v>
      </c>
    </row>
    <row r="8" spans="1:8">
      <c r="A8" s="2" t="s">
        <v>72</v>
      </c>
      <c r="B8" s="9">
        <v>3</v>
      </c>
      <c r="C8" s="2" t="s">
        <v>73</v>
      </c>
      <c r="D8" s="2" t="s">
        <v>74</v>
      </c>
      <c r="E8" s="8"/>
      <c r="F8" s="8" t="s">
        <v>75</v>
      </c>
      <c r="G8" s="31">
        <v>0.5</v>
      </c>
      <c r="H8" s="28" t="s">
        <v>76</v>
      </c>
    </row>
    <row r="9" spans="1:8">
      <c r="A9" s="2" t="s">
        <v>77</v>
      </c>
      <c r="B9" s="9">
        <v>0</v>
      </c>
      <c r="C9" s="2" t="s">
        <v>78</v>
      </c>
      <c r="D9" s="2" t="s">
        <v>79</v>
      </c>
      <c r="E9" s="8"/>
      <c r="F9" s="8" t="s">
        <v>80</v>
      </c>
      <c r="G9" s="31">
        <v>0.66666666666666663</v>
      </c>
      <c r="H9" s="28" t="s">
        <v>81</v>
      </c>
    </row>
    <row r="10" spans="1:8">
      <c r="A10" s="2" t="s">
        <v>82</v>
      </c>
      <c r="B10" s="9">
        <v>1</v>
      </c>
      <c r="C10" s="2" t="s">
        <v>83</v>
      </c>
      <c r="D10" s="2" t="s">
        <v>84</v>
      </c>
      <c r="E10" s="8"/>
      <c r="F10" s="8" t="s">
        <v>85</v>
      </c>
      <c r="G10" s="31">
        <v>1</v>
      </c>
      <c r="H10" s="28" t="s">
        <v>86</v>
      </c>
    </row>
    <row r="11" spans="1:8">
      <c r="A11" s="2"/>
      <c r="B11" s="9"/>
      <c r="C11" s="2"/>
      <c r="D11" s="2"/>
      <c r="E11" s="8"/>
      <c r="F11" s="8" t="s">
        <v>87</v>
      </c>
      <c r="G11" s="31">
        <v>1.5</v>
      </c>
      <c r="H11" s="28" t="s">
        <v>88</v>
      </c>
    </row>
    <row r="12" spans="1:8">
      <c r="A12" s="2" t="s">
        <v>89</v>
      </c>
      <c r="B12" s="9">
        <v>100</v>
      </c>
      <c r="C12" s="2" t="s">
        <v>90</v>
      </c>
      <c r="D12" s="2" t="s">
        <v>91</v>
      </c>
      <c r="E12" s="8"/>
      <c r="F12" s="8" t="s">
        <v>92</v>
      </c>
      <c r="G12" s="31">
        <v>2</v>
      </c>
      <c r="H12" s="28" t="s">
        <v>93</v>
      </c>
    </row>
    <row r="13" spans="1:8">
      <c r="A13" s="2" t="s">
        <v>94</v>
      </c>
      <c r="B13" s="9">
        <v>20</v>
      </c>
      <c r="C13" s="2" t="s">
        <v>90</v>
      </c>
      <c r="D13" s="2" t="s">
        <v>95</v>
      </c>
      <c r="E13" s="8"/>
      <c r="F13" s="8" t="s">
        <v>96</v>
      </c>
      <c r="G13" s="31">
        <v>2.5</v>
      </c>
      <c r="H13" s="28" t="s">
        <v>97</v>
      </c>
    </row>
    <row r="14" spans="1:8">
      <c r="A14" s="2" t="s">
        <v>98</v>
      </c>
      <c r="B14" s="9">
        <v>5</v>
      </c>
      <c r="C14" s="2" t="s">
        <v>90</v>
      </c>
      <c r="D14" s="2" t="s">
        <v>99</v>
      </c>
      <c r="E14" s="8"/>
      <c r="F14" s="8" t="s">
        <v>100</v>
      </c>
      <c r="G14" s="31">
        <v>3</v>
      </c>
      <c r="H14" s="28" t="s">
        <v>101</v>
      </c>
    </row>
    <row r="15" spans="1:8">
      <c r="A15" s="2" t="s">
        <v>102</v>
      </c>
      <c r="B15" s="9">
        <v>10</v>
      </c>
      <c r="C15" s="2" t="s">
        <v>90</v>
      </c>
      <c r="D15" s="2" t="s">
        <v>103</v>
      </c>
      <c r="E15" s="8"/>
      <c r="F15" s="8" t="s">
        <v>104</v>
      </c>
      <c r="G15" s="31">
        <v>3.5</v>
      </c>
      <c r="H15" s="28" t="s">
        <v>105</v>
      </c>
    </row>
    <row r="16" spans="1:8">
      <c r="A16" s="2" t="s">
        <v>106</v>
      </c>
      <c r="B16" s="9">
        <v>0</v>
      </c>
      <c r="C16" s="2" t="s">
        <v>90</v>
      </c>
      <c r="D16" s="2" t="s">
        <v>107</v>
      </c>
      <c r="E16" s="8"/>
      <c r="F16" s="8" t="s">
        <v>108</v>
      </c>
      <c r="G16" s="31">
        <v>4</v>
      </c>
      <c r="H16" s="28" t="s">
        <v>109</v>
      </c>
    </row>
    <row r="17" spans="1:8">
      <c r="A17" s="2"/>
      <c r="B17" s="9"/>
      <c r="C17" s="2"/>
      <c r="D17" s="2"/>
      <c r="E17" s="8"/>
      <c r="F17" s="8"/>
      <c r="G17" s="8"/>
      <c r="H17" s="8"/>
    </row>
    <row r="18" spans="1:8" ht="27">
      <c r="A18" s="2" t="s">
        <v>110</v>
      </c>
      <c r="B18" s="9">
        <v>1.5</v>
      </c>
      <c r="C18" s="2" t="s">
        <v>111</v>
      </c>
      <c r="D18" s="2" t="s">
        <v>112</v>
      </c>
      <c r="E18" s="8"/>
      <c r="F18" s="28" t="s">
        <v>113</v>
      </c>
      <c r="G18" s="28" t="s">
        <v>114</v>
      </c>
      <c r="H18" s="28" t="s">
        <v>115</v>
      </c>
    </row>
    <row r="19" spans="1:8">
      <c r="A19" s="2" t="s">
        <v>116</v>
      </c>
      <c r="B19" s="9">
        <v>50</v>
      </c>
      <c r="C19" s="2" t="s">
        <v>117</v>
      </c>
      <c r="D19" s="2" t="s">
        <v>118</v>
      </c>
      <c r="E19" s="8"/>
      <c r="F19" s="8"/>
      <c r="G19" s="8"/>
      <c r="H19" s="8"/>
    </row>
    <row r="20" spans="1:8">
      <c r="A20" s="2" t="s">
        <v>119</v>
      </c>
      <c r="B20" s="9">
        <v>50</v>
      </c>
      <c r="C20" s="2" t="s">
        <v>117</v>
      </c>
      <c r="D20" s="2" t="s">
        <v>118</v>
      </c>
      <c r="E20" s="8"/>
      <c r="F20" s="8"/>
      <c r="G20" s="8"/>
      <c r="H20" s="8"/>
    </row>
    <row r="21" spans="1:8">
      <c r="A21" s="2" t="s">
        <v>120</v>
      </c>
      <c r="B21" s="9">
        <v>80</v>
      </c>
      <c r="C21" s="2" t="s">
        <v>117</v>
      </c>
      <c r="D21" s="2" t="s">
        <v>121</v>
      </c>
      <c r="E21" s="8"/>
      <c r="F21" s="8"/>
      <c r="G21" s="8"/>
      <c r="H21" s="8"/>
    </row>
    <row r="22" spans="1:8">
      <c r="A22" s="2" t="s">
        <v>122</v>
      </c>
      <c r="B22" s="9">
        <v>20</v>
      </c>
      <c r="C22" s="2" t="s">
        <v>117</v>
      </c>
      <c r="D22" s="2" t="s">
        <v>121</v>
      </c>
      <c r="E22" s="8"/>
      <c r="F22" s="8"/>
      <c r="G22" s="8"/>
      <c r="H22" s="8"/>
    </row>
    <row r="23" spans="1:8">
      <c r="A23" s="2" t="s">
        <v>123</v>
      </c>
      <c r="B23" s="9">
        <v>20</v>
      </c>
      <c r="C23" s="2" t="s">
        <v>117</v>
      </c>
      <c r="D23" s="2" t="s">
        <v>124</v>
      </c>
      <c r="E23" s="8"/>
      <c r="F23" s="8"/>
      <c r="G23" s="8"/>
      <c r="H23" s="8"/>
    </row>
    <row r="24" spans="1:8">
      <c r="A24" s="2" t="s">
        <v>125</v>
      </c>
      <c r="B24" s="9">
        <v>80</v>
      </c>
      <c r="C24" s="2" t="s">
        <v>117</v>
      </c>
      <c r="D24" s="2" t="s">
        <v>124</v>
      </c>
      <c r="E24" s="8"/>
      <c r="F24" s="8"/>
      <c r="G24" s="8"/>
      <c r="H24" s="8"/>
    </row>
    <row r="25" spans="1:8">
      <c r="A25" s="2" t="s">
        <v>126</v>
      </c>
      <c r="B25" s="9">
        <v>3</v>
      </c>
      <c r="C25" s="2" t="s">
        <v>127</v>
      </c>
      <c r="D25" s="2" t="s">
        <v>128</v>
      </c>
      <c r="E25" s="8"/>
      <c r="F25" s="8"/>
      <c r="G25" s="8"/>
      <c r="H25" s="8"/>
    </row>
    <row r="26" spans="1:8">
      <c r="A26" s="10" t="s">
        <v>129</v>
      </c>
      <c r="B26" s="11">
        <f>$B$6+$B$7</f>
        <v>12</v>
      </c>
      <c r="C26" s="10" t="s">
        <v>64</v>
      </c>
      <c r="D26" s="10" t="s">
        <v>130</v>
      </c>
      <c r="E26" s="8"/>
      <c r="F26" s="8"/>
      <c r="G26" s="8"/>
      <c r="H26" s="8"/>
    </row>
    <row r="27" spans="1:8">
      <c r="A27" s="10" t="s">
        <v>15</v>
      </c>
      <c r="B27" s="11">
        <f>$B$26*$B$8</f>
        <v>36</v>
      </c>
      <c r="C27" s="10" t="s">
        <v>73</v>
      </c>
      <c r="D27" s="10" t="s">
        <v>131</v>
      </c>
      <c r="E27" s="8"/>
      <c r="F27" s="8"/>
      <c r="G27" s="8"/>
      <c r="H27" s="8"/>
    </row>
    <row r="29" spans="1:8">
      <c r="A29" t="s">
        <v>132</v>
      </c>
      <c r="B29">
        <v>2</v>
      </c>
      <c r="C29" t="s">
        <v>59</v>
      </c>
      <c r="D29" t="s">
        <v>133</v>
      </c>
    </row>
    <row r="30" spans="1:8">
      <c r="A30" t="s">
        <v>134</v>
      </c>
      <c r="B30">
        <v>0.1</v>
      </c>
      <c r="C30" t="s">
        <v>135</v>
      </c>
      <c r="D30" t="s">
        <v>136</v>
      </c>
    </row>
    <row r="31" spans="1:8">
      <c r="A31" t="s">
        <v>137</v>
      </c>
      <c r="B31">
        <v>1.5</v>
      </c>
      <c r="C31" t="s">
        <v>111</v>
      </c>
      <c r="D31" t="s">
        <v>138</v>
      </c>
    </row>
    <row r="32" spans="1:8">
      <c r="A32" t="s">
        <v>139</v>
      </c>
      <c r="B32" t="s">
        <v>140</v>
      </c>
      <c r="C32" t="s">
        <v>141</v>
      </c>
      <c r="D32" t="s">
        <v>142</v>
      </c>
    </row>
    <row r="33" spans="1:4">
      <c r="A33" t="s">
        <v>143</v>
      </c>
      <c r="B33">
        <v>1</v>
      </c>
      <c r="C33" t="s">
        <v>59</v>
      </c>
      <c r="D33" t="s">
        <v>144</v>
      </c>
    </row>
    <row r="34" spans="1:4">
      <c r="A34" t="s">
        <v>145</v>
      </c>
      <c r="B34">
        <v>30</v>
      </c>
      <c r="C34" t="s">
        <v>78</v>
      </c>
      <c r="D34" t="s">
        <v>146</v>
      </c>
    </row>
    <row r="35" spans="1:4">
      <c r="A35" t="s">
        <v>147</v>
      </c>
      <c r="B35">
        <v>0.92500000000000004</v>
      </c>
      <c r="C35" t="s">
        <v>111</v>
      </c>
      <c r="D35" t="s">
        <v>148</v>
      </c>
    </row>
    <row r="36" spans="1:4">
      <c r="A36" t="s">
        <v>149</v>
      </c>
      <c r="B36">
        <v>20</v>
      </c>
      <c r="C36" t="s">
        <v>83</v>
      </c>
      <c r="D36" t="s">
        <v>150</v>
      </c>
    </row>
    <row r="37" spans="1:4">
      <c r="A37" t="s">
        <v>151</v>
      </c>
      <c r="B37">
        <v>5</v>
      </c>
      <c r="C37" t="s">
        <v>83</v>
      </c>
      <c r="D37" t="s">
        <v>152</v>
      </c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6"/>
  <sheetViews>
    <sheetView showGridLines="0" workbookViewId="0"/>
  </sheetViews>
  <sheetFormatPr defaultRowHeight="14.25"/>
  <cols>
    <col min="1" max="1" width="8.75" customWidth="1"/>
    <col min="2" max="2" width="11.5" customWidth="1"/>
    <col min="3" max="4" width="14.125" customWidth="1"/>
    <col min="5" max="6" width="15.5" customWidth="1"/>
    <col min="7" max="7" width="32" customWidth="1"/>
    <col min="8" max="8" width="2" customWidth="1"/>
  </cols>
  <sheetData>
    <row r="1" spans="1:8" ht="25.5" customHeight="1">
      <c r="A1" s="18" t="s">
        <v>153</v>
      </c>
    </row>
    <row r="2" spans="1:8" ht="19.5" customHeight="1">
      <c r="A2" s="19" t="s">
        <v>154</v>
      </c>
    </row>
    <row r="3" spans="1:8">
      <c r="A3" s="8"/>
      <c r="B3" s="8"/>
      <c r="C3" s="8"/>
      <c r="D3" s="8"/>
      <c r="E3" s="8"/>
      <c r="F3" s="8"/>
      <c r="G3" s="8"/>
      <c r="H3" s="8"/>
    </row>
    <row r="4" spans="1:8" ht="15">
      <c r="A4" s="20" t="s">
        <v>155</v>
      </c>
      <c r="B4" s="20" t="s">
        <v>156</v>
      </c>
      <c r="C4" s="20" t="s">
        <v>157</v>
      </c>
      <c r="D4" s="20" t="s">
        <v>158</v>
      </c>
      <c r="E4" s="20" t="s">
        <v>159</v>
      </c>
      <c r="F4" s="20" t="s">
        <v>160</v>
      </c>
      <c r="G4" s="20" t="s">
        <v>161</v>
      </c>
      <c r="H4" s="8"/>
    </row>
    <row r="5" spans="1:8">
      <c r="A5" s="2">
        <v>1</v>
      </c>
      <c r="B5" s="5">
        <v>2</v>
      </c>
      <c r="C5" s="5">
        <v>3</v>
      </c>
      <c r="D5" s="12">
        <v>3</v>
      </c>
      <c r="E5" s="13">
        <f t="shared" ref="E5:E16" si="0">IF($B5=0,"",$D5/$B5)</f>
        <v>1.5</v>
      </c>
      <c r="F5" s="14">
        <f t="shared" ref="F5:F16" si="1">$D5-$C5</f>
        <v>0</v>
      </c>
      <c r="G5" s="2" t="s">
        <v>162</v>
      </c>
      <c r="H5" s="8"/>
    </row>
    <row r="6" spans="1:8">
      <c r="A6" s="2">
        <v>2</v>
      </c>
      <c r="B6" s="5">
        <v>4</v>
      </c>
      <c r="C6" s="5">
        <v>6</v>
      </c>
      <c r="D6" s="12">
        <v>6</v>
      </c>
      <c r="E6" s="13">
        <f t="shared" si="0"/>
        <v>1.5</v>
      </c>
      <c r="F6" s="14">
        <f t="shared" si="1"/>
        <v>0</v>
      </c>
      <c r="G6" s="2" t="s">
        <v>162</v>
      </c>
      <c r="H6" s="8"/>
    </row>
    <row r="7" spans="1:8">
      <c r="A7" s="2">
        <v>3</v>
      </c>
      <c r="B7" s="5">
        <v>8</v>
      </c>
      <c r="C7" s="5">
        <v>9</v>
      </c>
      <c r="D7" s="12">
        <v>9</v>
      </c>
      <c r="E7" s="13">
        <f t="shared" si="0"/>
        <v>1.125</v>
      </c>
      <c r="F7" s="14">
        <f t="shared" si="1"/>
        <v>0</v>
      </c>
      <c r="G7" s="2" t="s">
        <v>162</v>
      </c>
      <c r="H7" s="8"/>
    </row>
    <row r="8" spans="1:8">
      <c r="A8" s="2">
        <v>4</v>
      </c>
      <c r="B8" s="5">
        <v>16</v>
      </c>
      <c r="C8" s="5">
        <v>12</v>
      </c>
      <c r="D8" s="12">
        <v>12</v>
      </c>
      <c r="E8" s="13">
        <f t="shared" si="0"/>
        <v>0.75</v>
      </c>
      <c r="F8" s="14">
        <f t="shared" si="1"/>
        <v>0</v>
      </c>
      <c r="G8" s="2" t="s">
        <v>162</v>
      </c>
      <c r="H8" s="8"/>
    </row>
    <row r="9" spans="1:8">
      <c r="A9" s="2">
        <v>5</v>
      </c>
      <c r="B9" s="5">
        <v>32</v>
      </c>
      <c r="C9" s="5">
        <v>15</v>
      </c>
      <c r="D9" s="12">
        <v>15</v>
      </c>
      <c r="E9" s="13">
        <f t="shared" si="0"/>
        <v>0.46875</v>
      </c>
      <c r="F9" s="14">
        <f t="shared" si="1"/>
        <v>0</v>
      </c>
      <c r="G9" s="2" t="s">
        <v>162</v>
      </c>
      <c r="H9" s="8"/>
    </row>
    <row r="10" spans="1:8">
      <c r="A10" s="2">
        <v>6</v>
      </c>
      <c r="B10" s="5">
        <v>64</v>
      </c>
      <c r="C10" s="5">
        <v>18</v>
      </c>
      <c r="D10" s="12">
        <v>18</v>
      </c>
      <c r="E10" s="13">
        <f t="shared" si="0"/>
        <v>0.28125</v>
      </c>
      <c r="F10" s="14">
        <f t="shared" si="1"/>
        <v>0</v>
      </c>
      <c r="G10" s="2" t="s">
        <v>162</v>
      </c>
      <c r="H10" s="8"/>
    </row>
    <row r="11" spans="1:8">
      <c r="A11" s="2">
        <v>7</v>
      </c>
      <c r="B11" s="5">
        <v>128</v>
      </c>
      <c r="C11" s="5">
        <v>21</v>
      </c>
      <c r="D11" s="12">
        <v>21</v>
      </c>
      <c r="E11" s="13">
        <f t="shared" si="0"/>
        <v>0.1640625</v>
      </c>
      <c r="F11" s="14">
        <f t="shared" si="1"/>
        <v>0</v>
      </c>
      <c r="G11" s="2" t="s">
        <v>162</v>
      </c>
      <c r="H11" s="8"/>
    </row>
    <row r="12" spans="1:8">
      <c r="A12" s="2">
        <v>8</v>
      </c>
      <c r="B12" s="5">
        <v>256</v>
      </c>
      <c r="C12" s="5">
        <v>24</v>
      </c>
      <c r="D12" s="12">
        <v>24</v>
      </c>
      <c r="E12" s="13">
        <f t="shared" si="0"/>
        <v>9.375E-2</v>
      </c>
      <c r="F12" s="14">
        <f t="shared" si="1"/>
        <v>0</v>
      </c>
      <c r="G12" s="2" t="s">
        <v>162</v>
      </c>
      <c r="H12" s="8"/>
    </row>
    <row r="13" spans="1:8">
      <c r="A13" s="2">
        <v>9</v>
      </c>
      <c r="B13" s="5">
        <v>512</v>
      </c>
      <c r="C13" s="5">
        <v>27</v>
      </c>
      <c r="D13" s="12">
        <v>27</v>
      </c>
      <c r="E13" s="13">
        <f t="shared" si="0"/>
        <v>5.2734375E-2</v>
      </c>
      <c r="F13" s="14">
        <f t="shared" si="1"/>
        <v>0</v>
      </c>
      <c r="G13" s="2" t="s">
        <v>162</v>
      </c>
      <c r="H13" s="8"/>
    </row>
    <row r="14" spans="1:8">
      <c r="A14" s="2">
        <v>10</v>
      </c>
      <c r="B14" s="5">
        <v>1024</v>
      </c>
      <c r="C14" s="5">
        <v>30</v>
      </c>
      <c r="D14" s="12">
        <v>30</v>
      </c>
      <c r="E14" s="13">
        <f t="shared" si="0"/>
        <v>2.9296875E-2</v>
      </c>
      <c r="F14" s="14">
        <f t="shared" si="1"/>
        <v>0</v>
      </c>
      <c r="G14" s="2" t="s">
        <v>162</v>
      </c>
      <c r="H14" s="8"/>
    </row>
    <row r="15" spans="1:8">
      <c r="A15" s="2">
        <v>11</v>
      </c>
      <c r="B15" s="5">
        <v>2048</v>
      </c>
      <c r="C15" s="5">
        <v>33</v>
      </c>
      <c r="D15" s="12">
        <v>33</v>
      </c>
      <c r="E15" s="13">
        <f t="shared" si="0"/>
        <v>1.611328125E-2</v>
      </c>
      <c r="F15" s="14">
        <f t="shared" si="1"/>
        <v>0</v>
      </c>
      <c r="G15" s="2" t="s">
        <v>162</v>
      </c>
      <c r="H15" s="8"/>
    </row>
    <row r="16" spans="1:8">
      <c r="A16">
        <v>12</v>
      </c>
      <c r="B16">
        <v>4096</v>
      </c>
      <c r="C16">
        <v>36</v>
      </c>
      <c r="D16">
        <v>36</v>
      </c>
      <c r="E16">
        <f t="shared" si="0"/>
        <v>8.7890625E-3</v>
      </c>
      <c r="F16">
        <f t="shared" si="1"/>
        <v>0</v>
      </c>
      <c r="G16" t="s">
        <v>162</v>
      </c>
    </row>
  </sheetData>
  <phoneticPr fontId="9" type="noConversion"/>
  <conditionalFormatting sqref="F5:F15">
    <cfRule type="cellIs" dxfId="3" priority="1" operator="notEqual">
      <formula>0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5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22" customWidth="1"/>
    <col min="2" max="2" width="18" customWidth="1"/>
    <col min="3" max="3" width="12" customWidth="1"/>
    <col min="4" max="4" width="24" customWidth="1"/>
    <col min="5" max="5" width="16" customWidth="1"/>
    <col min="6" max="6" width="14" customWidth="1"/>
    <col min="7" max="8" width="10" customWidth="1"/>
    <col min="9" max="9" width="16" customWidth="1"/>
    <col min="10" max="12" width="12" customWidth="1"/>
    <col min="13" max="14" width="68" customWidth="1"/>
  </cols>
  <sheetData>
    <row r="1" spans="1:14" ht="25.5" customHeight="1">
      <c r="A1" s="18" t="s">
        <v>163</v>
      </c>
    </row>
    <row r="2" spans="1:14" ht="19.5" customHeight="1">
      <c r="A2" s="21" t="s">
        <v>164</v>
      </c>
      <c r="I2" s="8"/>
      <c r="J2" s="8"/>
      <c r="K2" s="8"/>
      <c r="L2" s="8"/>
      <c r="M2" s="8"/>
      <c r="N2" s="8"/>
    </row>
    <row r="3" spans="1:14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</row>
    <row r="4" spans="1:14" ht="30">
      <c r="A4" s="20" t="s">
        <v>165</v>
      </c>
      <c r="B4" s="20" t="s">
        <v>166</v>
      </c>
      <c r="C4" s="20" t="s">
        <v>167</v>
      </c>
      <c r="D4" s="20" t="s">
        <v>168</v>
      </c>
      <c r="E4" s="20" t="s">
        <v>169</v>
      </c>
      <c r="F4" s="20" t="s">
        <v>170</v>
      </c>
      <c r="G4" s="20" t="s">
        <v>171</v>
      </c>
      <c r="H4" s="20" t="s">
        <v>172</v>
      </c>
      <c r="I4" s="20" t="s">
        <v>173</v>
      </c>
      <c r="J4" s="20" t="s">
        <v>174</v>
      </c>
      <c r="K4" s="20" t="s">
        <v>175</v>
      </c>
      <c r="L4" s="20" t="s">
        <v>176</v>
      </c>
      <c r="M4" s="20" t="s">
        <v>177</v>
      </c>
      <c r="N4" s="20" t="s">
        <v>178</v>
      </c>
    </row>
    <row r="5" spans="1:14">
      <c r="A5" s="2" t="s">
        <v>179</v>
      </c>
      <c r="B5" s="2" t="s">
        <v>180</v>
      </c>
      <c r="C5" s="2" t="s">
        <v>181</v>
      </c>
      <c r="D5" s="12" t="s">
        <v>182</v>
      </c>
      <c r="E5" s="12" t="s">
        <v>183</v>
      </c>
      <c r="F5" s="12" t="s">
        <v>184</v>
      </c>
      <c r="G5" s="12">
        <v>4</v>
      </c>
      <c r="H5" s="5">
        <v>40</v>
      </c>
      <c r="I5" s="5">
        <v>40</v>
      </c>
      <c r="J5" s="22">
        <f>IF(OR($C5&lt;&gt;"Attack",$I5&lt;=0),0,CEILING(($I5/10)*(IF($E5="ShieldHp",Inputs!$B$33,IF($E5="DefensePower",Inputs!$B$28,Inputs!$B$5))/MAX(1,Inputs!$B$32))*Inputs!$B$34,1))</f>
        <v>1200</v>
      </c>
      <c r="K5" s="15">
        <v>0</v>
      </c>
      <c r="L5" s="23">
        <f t="shared" ref="L5:L45" si="0">IF($G5=0,"",$J5/$G5)</f>
        <v>300</v>
      </c>
      <c r="M5" s="24" t="s">
        <v>185</v>
      </c>
      <c r="N5" s="25" t="s">
        <v>185</v>
      </c>
    </row>
    <row r="6" spans="1:14" ht="27">
      <c r="A6" s="2" t="s">
        <v>186</v>
      </c>
      <c r="B6" s="2" t="s">
        <v>187</v>
      </c>
      <c r="C6" s="2" t="s">
        <v>181</v>
      </c>
      <c r="D6" s="12" t="s">
        <v>188</v>
      </c>
      <c r="E6" s="12" t="s">
        <v>183</v>
      </c>
      <c r="F6" s="12" t="s">
        <v>184</v>
      </c>
      <c r="G6" s="12">
        <v>5</v>
      </c>
      <c r="H6" s="5">
        <v>50</v>
      </c>
      <c r="I6" s="5">
        <v>50</v>
      </c>
      <c r="J6" s="22">
        <f>IF(OR($C6&lt;&gt;"Attack",$I6&lt;=0),0,CEILING(($I6/10)*(IF($E6="ShieldHp",Inputs!$B$33,IF($E6="DefensePower",Inputs!$B$28,Inputs!$B$5))/MAX(1,Inputs!$B$32))*Inputs!$B$34,1))</f>
        <v>1500</v>
      </c>
      <c r="K6" s="15">
        <v>0</v>
      </c>
      <c r="L6" s="23">
        <f t="shared" si="0"/>
        <v>300</v>
      </c>
      <c r="M6" s="24" t="s">
        <v>189</v>
      </c>
      <c r="N6" s="25" t="s">
        <v>189</v>
      </c>
    </row>
    <row r="7" spans="1:14" ht="27">
      <c r="A7" s="2" t="s">
        <v>190</v>
      </c>
      <c r="B7" s="2" t="s">
        <v>191</v>
      </c>
      <c r="C7" s="2" t="s">
        <v>181</v>
      </c>
      <c r="D7" s="12" t="s">
        <v>192</v>
      </c>
      <c r="E7" s="12" t="s">
        <v>183</v>
      </c>
      <c r="F7" s="12" t="s">
        <v>184</v>
      </c>
      <c r="G7" s="12">
        <v>5</v>
      </c>
      <c r="H7" s="5">
        <v>30</v>
      </c>
      <c r="I7" s="5">
        <v>30</v>
      </c>
      <c r="J7" s="22">
        <f>IF(OR($C7&lt;&gt;"Attack",$I7&lt;=0),0,CEILING(($I7/10)*(IF($E7="ShieldHp",Inputs!$B$33,IF($E7="DefensePower",Inputs!$B$28,Inputs!$B$5))/MAX(1,Inputs!$B$32))*Inputs!$B$34,1))</f>
        <v>900</v>
      </c>
      <c r="K7" s="15">
        <v>0</v>
      </c>
      <c r="L7" s="23">
        <f t="shared" si="0"/>
        <v>180</v>
      </c>
      <c r="M7" s="24" t="s">
        <v>193</v>
      </c>
      <c r="N7" s="25" t="s">
        <v>193</v>
      </c>
    </row>
    <row r="8" spans="1:14">
      <c r="A8" s="2" t="s">
        <v>194</v>
      </c>
      <c r="B8" s="2" t="s">
        <v>195</v>
      </c>
      <c r="C8" s="2" t="s">
        <v>181</v>
      </c>
      <c r="D8" s="12" t="s">
        <v>196</v>
      </c>
      <c r="E8" s="12" t="s">
        <v>197</v>
      </c>
      <c r="F8" s="12" t="s">
        <v>184</v>
      </c>
      <c r="G8" s="12">
        <v>5</v>
      </c>
      <c r="H8" s="5">
        <v>60</v>
      </c>
      <c r="I8" s="5">
        <v>60</v>
      </c>
      <c r="J8" s="22">
        <f>IF(OR($C8&lt;&gt;"Attack",$I8&lt;=0),0,CEILING(($I8/10)*(IF($E8="ShieldHp",Inputs!$B$33,IF($E8="DefensePower",Inputs!$B$28,Inputs!$B$5))/MAX(1,Inputs!$B$32))*Inputs!$B$34,1))</f>
        <v>180</v>
      </c>
      <c r="K8" s="15">
        <v>0</v>
      </c>
      <c r="L8" s="23">
        <f t="shared" si="0"/>
        <v>36</v>
      </c>
      <c r="M8" s="24" t="s">
        <v>198</v>
      </c>
      <c r="N8" s="25" t="s">
        <v>198</v>
      </c>
    </row>
    <row r="9" spans="1:14" ht="27">
      <c r="A9" s="2" t="s">
        <v>199</v>
      </c>
      <c r="B9" s="2" t="s">
        <v>200</v>
      </c>
      <c r="C9" s="2" t="s">
        <v>181</v>
      </c>
      <c r="D9" s="12" t="s">
        <v>188</v>
      </c>
      <c r="E9" s="12" t="s">
        <v>183</v>
      </c>
      <c r="F9" s="12" t="s">
        <v>184</v>
      </c>
      <c r="G9" s="12">
        <v>6</v>
      </c>
      <c r="H9" s="5">
        <v>50</v>
      </c>
      <c r="I9" s="5">
        <v>50</v>
      </c>
      <c r="J9" s="22">
        <f>IF(OR($C9&lt;&gt;"Attack",$I9&lt;=0),0,CEILING(($I9/10)*(IF($E9="ShieldHp",Inputs!$B$33,IF($E9="DefensePower",Inputs!$B$28,Inputs!$B$5))/MAX(1,Inputs!$B$32))*Inputs!$B$34,1))</f>
        <v>1500</v>
      </c>
      <c r="K9" s="15">
        <v>0</v>
      </c>
      <c r="L9" s="23">
        <f t="shared" si="0"/>
        <v>250</v>
      </c>
      <c r="M9" s="24" t="s">
        <v>201</v>
      </c>
      <c r="N9" s="25" t="s">
        <v>201</v>
      </c>
    </row>
    <row r="10" spans="1:14" ht="28.5">
      <c r="A10" t="s">
        <v>202</v>
      </c>
      <c r="B10" t="s">
        <v>203</v>
      </c>
      <c r="C10" t="s">
        <v>181</v>
      </c>
      <c r="D10" t="s">
        <v>204</v>
      </c>
      <c r="E10" t="s">
        <v>183</v>
      </c>
      <c r="F10" t="s">
        <v>184</v>
      </c>
      <c r="G10">
        <v>6</v>
      </c>
      <c r="H10">
        <v>40</v>
      </c>
      <c r="I10">
        <v>80</v>
      </c>
      <c r="J10" s="26">
        <f>IF(OR($C10&lt;&gt;"Attack",$I10&lt;=0),0,CEILING(($I10/10)*(IF($E10="ShieldHp",Inputs!$B$33,IF($E10="DefensePower",Inputs!$B$28,Inputs!$B$5))/MAX(1,Inputs!$B$32))*Inputs!$B$34,1))</f>
        <v>2400</v>
      </c>
      <c r="K10">
        <v>0</v>
      </c>
      <c r="L10" s="26">
        <f t="shared" si="0"/>
        <v>400</v>
      </c>
      <c r="M10" s="26" t="s">
        <v>205</v>
      </c>
      <c r="N10" s="26" t="s">
        <v>205</v>
      </c>
    </row>
    <row r="11" spans="1:14" ht="28.5">
      <c r="A11" t="s">
        <v>206</v>
      </c>
      <c r="B11" t="s">
        <v>207</v>
      </c>
      <c r="C11" t="s">
        <v>181</v>
      </c>
      <c r="D11" t="s">
        <v>208</v>
      </c>
      <c r="E11" t="s">
        <v>183</v>
      </c>
      <c r="F11" t="s">
        <v>209</v>
      </c>
      <c r="G11">
        <v>6</v>
      </c>
      <c r="H11">
        <v>0</v>
      </c>
      <c r="I11">
        <v>0</v>
      </c>
      <c r="J11" s="26">
        <f>IF(OR($C11&lt;&gt;"Attack",$I11&lt;=0),0,CEILING(($I11/10)*(IF($E11="ShieldHp",Inputs!$B$33,IF($E11="DefensePower",Inputs!$B$28,Inputs!$B$5))/MAX(1,Inputs!$B$32))*Inputs!$B$34,1))</f>
        <v>0</v>
      </c>
      <c r="K11">
        <v>0</v>
      </c>
      <c r="L11" s="26">
        <f t="shared" si="0"/>
        <v>0</v>
      </c>
      <c r="M11" s="26" t="s">
        <v>210</v>
      </c>
      <c r="N11" s="26" t="s">
        <v>210</v>
      </c>
    </row>
    <row r="12" spans="1:14">
      <c r="A12" t="s">
        <v>211</v>
      </c>
      <c r="B12" t="s">
        <v>212</v>
      </c>
      <c r="C12" t="s">
        <v>181</v>
      </c>
      <c r="D12" t="s">
        <v>182</v>
      </c>
      <c r="E12" t="s">
        <v>183</v>
      </c>
      <c r="F12" t="s">
        <v>209</v>
      </c>
      <c r="G12">
        <v>6</v>
      </c>
      <c r="H12">
        <v>60</v>
      </c>
      <c r="I12">
        <v>60</v>
      </c>
      <c r="J12" s="26">
        <f>IF(OR($C12&lt;&gt;"Attack",$I12&lt;=0),0,CEILING(($I12/10)*(IF($E12="ShieldHp",Inputs!$B$33,IF($E12="DefensePower",Inputs!$B$28,Inputs!$B$5))/MAX(1,Inputs!$B$32))*Inputs!$B$34,1))</f>
        <v>1800</v>
      </c>
      <c r="K12">
        <v>0</v>
      </c>
      <c r="L12" s="26">
        <f t="shared" si="0"/>
        <v>300</v>
      </c>
      <c r="M12" s="26" t="s">
        <v>213</v>
      </c>
      <c r="N12" s="26" t="s">
        <v>213</v>
      </c>
    </row>
    <row r="13" spans="1:14">
      <c r="A13" t="s">
        <v>214</v>
      </c>
      <c r="B13" t="s">
        <v>215</v>
      </c>
      <c r="C13" t="s">
        <v>181</v>
      </c>
      <c r="D13" s="26" t="s">
        <v>216</v>
      </c>
      <c r="E13" t="s">
        <v>183</v>
      </c>
      <c r="F13" t="s">
        <v>184</v>
      </c>
      <c r="G13">
        <v>6</v>
      </c>
      <c r="H13">
        <v>90</v>
      </c>
      <c r="I13">
        <v>90</v>
      </c>
      <c r="J13" s="26">
        <f>IF(OR($C13&lt;&gt;"Attack",$I13&lt;=0),0,CEILING(($I13/10)*(IF($E13="ShieldHp",Inputs!$B$33,IF($E13="DefensePower",Inputs!$B$28,Inputs!$B$5))/MAX(1,Inputs!$B$32))*Inputs!$B$34,1))</f>
        <v>2700</v>
      </c>
      <c r="K13">
        <v>0</v>
      </c>
      <c r="L13" s="26">
        <f t="shared" si="0"/>
        <v>450</v>
      </c>
      <c r="M13" s="26" t="s">
        <v>217</v>
      </c>
      <c r="N13" s="26" t="s">
        <v>217</v>
      </c>
    </row>
    <row r="14" spans="1:14" ht="28.5">
      <c r="A14" t="s">
        <v>218</v>
      </c>
      <c r="B14" t="s">
        <v>219</v>
      </c>
      <c r="C14" t="s">
        <v>181</v>
      </c>
      <c r="D14" t="s">
        <v>220</v>
      </c>
      <c r="E14" t="s">
        <v>183</v>
      </c>
      <c r="F14" t="s">
        <v>184</v>
      </c>
      <c r="G14">
        <v>7</v>
      </c>
      <c r="H14">
        <v>100</v>
      </c>
      <c r="I14">
        <v>100</v>
      </c>
      <c r="J14" s="26">
        <f>IF(OR($C14&lt;&gt;"Attack",$I14&lt;=0),0,CEILING(($I14/10)*(IF($E14="ShieldHp",Inputs!$B$33,IF($E14="DefensePower",Inputs!$B$28,Inputs!$B$5))/MAX(1,Inputs!$B$32))*Inputs!$B$34,1))</f>
        <v>3000</v>
      </c>
      <c r="K14">
        <v>0</v>
      </c>
      <c r="L14" s="26">
        <f t="shared" si="0"/>
        <v>428.57142857142856</v>
      </c>
      <c r="M14" s="26" t="s">
        <v>221</v>
      </c>
      <c r="N14" s="26" t="s">
        <v>221</v>
      </c>
    </row>
    <row r="15" spans="1:14">
      <c r="A15" t="s">
        <v>222</v>
      </c>
      <c r="B15" t="s">
        <v>223</v>
      </c>
      <c r="C15" t="s">
        <v>181</v>
      </c>
      <c r="D15" t="s">
        <v>224</v>
      </c>
      <c r="E15" t="s">
        <v>225</v>
      </c>
      <c r="F15" t="s">
        <v>184</v>
      </c>
      <c r="G15">
        <v>7</v>
      </c>
      <c r="H15">
        <v>80</v>
      </c>
      <c r="I15">
        <v>80</v>
      </c>
      <c r="J15" s="26">
        <f>IF(OR($C15&lt;&gt;"Attack",$I15&lt;=0),0,CEILING(($I15/10)*(IF($E15="ShieldHp",Inputs!$B$33,IF($E15="DefensePower",Inputs!$B$28,Inputs!$B$5))/MAX(1,Inputs!$B$32))*Inputs!$B$34,1))</f>
        <v>0</v>
      </c>
      <c r="K15">
        <v>0</v>
      </c>
      <c r="L15" s="26">
        <f t="shared" si="0"/>
        <v>0</v>
      </c>
      <c r="M15" s="26" t="s">
        <v>226</v>
      </c>
      <c r="N15" s="26" t="s">
        <v>226</v>
      </c>
    </row>
    <row r="16" spans="1:14">
      <c r="A16" t="s">
        <v>227</v>
      </c>
      <c r="B16" t="s">
        <v>228</v>
      </c>
      <c r="C16" t="s">
        <v>181</v>
      </c>
      <c r="D16" t="s">
        <v>229</v>
      </c>
      <c r="E16" t="s">
        <v>183</v>
      </c>
      <c r="F16" t="s">
        <v>209</v>
      </c>
      <c r="G16">
        <v>7</v>
      </c>
      <c r="H16">
        <v>50</v>
      </c>
      <c r="I16">
        <v>50</v>
      </c>
      <c r="J16" s="26">
        <f>IF(OR($C16&lt;&gt;"Attack",$I16&lt;=0),0,CEILING(($I16/10)*(IF($E16="ShieldHp",Inputs!$B$33,IF($E16="DefensePower",Inputs!$B$28,Inputs!$B$5))/MAX(1,Inputs!$B$32))*Inputs!$B$34,1))</f>
        <v>1500</v>
      </c>
      <c r="K16">
        <v>0</v>
      </c>
      <c r="L16" s="26">
        <f t="shared" si="0"/>
        <v>214.28571428571428</v>
      </c>
      <c r="M16" s="26" t="s">
        <v>230</v>
      </c>
      <c r="N16" s="26" t="s">
        <v>230</v>
      </c>
    </row>
    <row r="17" spans="1:14" ht="28.5">
      <c r="A17" t="s">
        <v>231</v>
      </c>
      <c r="B17" t="s">
        <v>232</v>
      </c>
      <c r="C17" t="s">
        <v>181</v>
      </c>
      <c r="D17" t="s">
        <v>233</v>
      </c>
      <c r="E17" t="s">
        <v>183</v>
      </c>
      <c r="F17" t="s">
        <v>184</v>
      </c>
      <c r="G17">
        <v>7</v>
      </c>
      <c r="H17">
        <v>50</v>
      </c>
      <c r="I17">
        <v>50</v>
      </c>
      <c r="J17" s="26">
        <f>IF(OR($C17&lt;&gt;"Attack",$I17&lt;=0),0,CEILING(($I17/10)*(IF($E17="ShieldHp",Inputs!$B$33,IF($E17="DefensePower",Inputs!$B$28,Inputs!$B$5))/MAX(1,Inputs!$B$32))*Inputs!$B$34,1))</f>
        <v>1500</v>
      </c>
      <c r="K17">
        <v>0</v>
      </c>
      <c r="L17" s="26">
        <f t="shared" si="0"/>
        <v>214.28571428571428</v>
      </c>
      <c r="M17" s="26" t="s">
        <v>234</v>
      </c>
      <c r="N17" s="26" t="s">
        <v>235</v>
      </c>
    </row>
    <row r="18" spans="1:14">
      <c r="A18" t="s">
        <v>236</v>
      </c>
      <c r="B18" t="s">
        <v>237</v>
      </c>
      <c r="C18" t="s">
        <v>181</v>
      </c>
      <c r="D18" t="s">
        <v>238</v>
      </c>
      <c r="E18" t="s">
        <v>183</v>
      </c>
      <c r="F18" t="s">
        <v>184</v>
      </c>
      <c r="G18">
        <v>7</v>
      </c>
      <c r="H18">
        <v>60</v>
      </c>
      <c r="I18">
        <v>60</v>
      </c>
      <c r="J18" s="26">
        <f>IF(OR($C18&lt;&gt;"Attack",$I18&lt;=0),0,CEILING(($I18/10)*(IF($E18="ShieldHp",Inputs!$B$33,IF($E18="DefensePower",Inputs!$B$28,Inputs!$B$5))/MAX(1,Inputs!$B$32))*Inputs!$B$34,1))</f>
        <v>1800</v>
      </c>
      <c r="K18">
        <v>0</v>
      </c>
      <c r="L18" s="26">
        <f t="shared" si="0"/>
        <v>257.14285714285717</v>
      </c>
      <c r="M18" s="26" t="s">
        <v>239</v>
      </c>
      <c r="N18" s="26" t="s">
        <v>239</v>
      </c>
    </row>
    <row r="19" spans="1:14" ht="42.75">
      <c r="A19" t="s">
        <v>240</v>
      </c>
      <c r="B19" t="s">
        <v>241</v>
      </c>
      <c r="C19" t="s">
        <v>181</v>
      </c>
      <c r="D19" t="s">
        <v>188</v>
      </c>
      <c r="E19" t="s">
        <v>183</v>
      </c>
      <c r="F19" t="s">
        <v>184</v>
      </c>
      <c r="G19">
        <v>7</v>
      </c>
      <c r="H19">
        <v>70</v>
      </c>
      <c r="I19" t="s">
        <v>242</v>
      </c>
      <c r="J19" s="26">
        <f>IF(OR($C19&lt;&gt;"Attack",$I19&lt;=0),0,CEILING(($I19/10)*(IF($E19="ShieldHp",Inputs!$B$33,IF($E19="DefensePower",Inputs!$B$28,Inputs!$B$5))/MAX(1,Inputs!$B$32))*Inputs!$B$34,1))</f>
        <v>2100</v>
      </c>
      <c r="K19">
        <v>0</v>
      </c>
      <c r="L19" s="26">
        <f t="shared" si="0"/>
        <v>300</v>
      </c>
      <c r="M19" s="26" t="s">
        <v>243</v>
      </c>
      <c r="N19" s="26" t="s">
        <v>243</v>
      </c>
    </row>
    <row r="20" spans="1:14" ht="28.5">
      <c r="A20" t="s">
        <v>244</v>
      </c>
      <c r="B20" t="s">
        <v>245</v>
      </c>
      <c r="C20" t="s">
        <v>181</v>
      </c>
      <c r="D20" t="s">
        <v>246</v>
      </c>
      <c r="E20" t="s">
        <v>197</v>
      </c>
      <c r="F20" t="s">
        <v>184</v>
      </c>
      <c r="G20">
        <v>7</v>
      </c>
      <c r="H20">
        <v>100</v>
      </c>
      <c r="I20">
        <v>100</v>
      </c>
      <c r="J20" s="26">
        <f>IF(OR($C20&lt;&gt;"Attack",$I20&lt;=0),0,CEILING(($I20/10)*(IF($E20="ShieldHp",Inputs!$B$33,IF($E20="DefensePower",Inputs!$B$28,Inputs!$B$5))/MAX(1,Inputs!$B$32))*Inputs!$B$34,1))</f>
        <v>300</v>
      </c>
      <c r="K20">
        <v>0</v>
      </c>
      <c r="L20" s="26">
        <f t="shared" si="0"/>
        <v>42.857142857142854</v>
      </c>
      <c r="M20" s="26" t="s">
        <v>247</v>
      </c>
      <c r="N20" s="26" t="s">
        <v>247</v>
      </c>
    </row>
    <row r="21" spans="1:14" ht="28.5">
      <c r="A21" t="s">
        <v>248</v>
      </c>
      <c r="B21" t="s">
        <v>249</v>
      </c>
      <c r="C21" t="s">
        <v>181</v>
      </c>
      <c r="D21" t="s">
        <v>220</v>
      </c>
      <c r="E21" t="s">
        <v>183</v>
      </c>
      <c r="F21" t="s">
        <v>209</v>
      </c>
      <c r="G21">
        <v>8</v>
      </c>
      <c r="H21">
        <v>120</v>
      </c>
      <c r="I21">
        <v>120</v>
      </c>
      <c r="J21" s="26">
        <f>IF(OR($C21&lt;&gt;"Attack",$I21&lt;=0),0,CEILING(($I21/10)*(IF($E21="ShieldHp",Inputs!$B$33,IF($E21="DefensePower",Inputs!$B$28,Inputs!$B$5))/MAX(1,Inputs!$B$32))*Inputs!$B$34,1))</f>
        <v>3600</v>
      </c>
      <c r="K21">
        <v>0</v>
      </c>
      <c r="L21" s="26">
        <f t="shared" si="0"/>
        <v>450</v>
      </c>
      <c r="M21" s="26" t="s">
        <v>250</v>
      </c>
      <c r="N21" s="26" t="s">
        <v>250</v>
      </c>
    </row>
    <row r="22" spans="1:14">
      <c r="A22" t="s">
        <v>251</v>
      </c>
      <c r="B22" t="s">
        <v>252</v>
      </c>
      <c r="C22" t="s">
        <v>181</v>
      </c>
      <c r="D22" t="s">
        <v>182</v>
      </c>
      <c r="E22" t="s">
        <v>183</v>
      </c>
      <c r="F22" t="s">
        <v>184</v>
      </c>
      <c r="G22">
        <v>8</v>
      </c>
      <c r="H22">
        <v>80</v>
      </c>
      <c r="I22">
        <v>80</v>
      </c>
      <c r="J22" s="26">
        <f>IF(OR($C22&lt;&gt;"Attack",$I22&lt;=0),0,CEILING(($I22/10)*(IF($E22="ShieldHp",Inputs!$B$33,IF($E22="DefensePower",Inputs!$B$28,Inputs!$B$5))/MAX(1,Inputs!$B$32))*Inputs!$B$34,1))</f>
        <v>2400</v>
      </c>
      <c r="K22">
        <v>0</v>
      </c>
      <c r="L22" s="26">
        <f t="shared" si="0"/>
        <v>300</v>
      </c>
      <c r="M22" s="26" t="s">
        <v>253</v>
      </c>
      <c r="N22" s="26" t="s">
        <v>253</v>
      </c>
    </row>
    <row r="23" spans="1:14">
      <c r="A23" t="s">
        <v>254</v>
      </c>
      <c r="B23" t="s">
        <v>255</v>
      </c>
      <c r="C23" t="s">
        <v>181</v>
      </c>
      <c r="D23" s="26" t="s">
        <v>216</v>
      </c>
      <c r="E23" t="s">
        <v>183</v>
      </c>
      <c r="F23" t="s">
        <v>184</v>
      </c>
      <c r="G23">
        <v>8</v>
      </c>
      <c r="H23">
        <v>110</v>
      </c>
      <c r="I23">
        <v>110</v>
      </c>
      <c r="J23" s="26">
        <f>IF(OR($C23&lt;&gt;"Attack",$I23&lt;=0),0,CEILING(($I23/10)*(IF($E23="ShieldHp",Inputs!$B$33,IF($E23="DefensePower",Inputs!$B$28,Inputs!$B$5))/MAX(1,Inputs!$B$32))*Inputs!$B$34,1))</f>
        <v>3300</v>
      </c>
      <c r="K23">
        <v>0</v>
      </c>
      <c r="L23" s="26">
        <f t="shared" si="0"/>
        <v>412.5</v>
      </c>
      <c r="M23" s="26" t="s">
        <v>256</v>
      </c>
      <c r="N23" s="26" t="s">
        <v>256</v>
      </c>
    </row>
    <row r="24" spans="1:14" ht="28.5">
      <c r="A24" t="s">
        <v>257</v>
      </c>
      <c r="B24" t="s">
        <v>258</v>
      </c>
      <c r="C24" t="s">
        <v>259</v>
      </c>
      <c r="D24" t="s">
        <v>260</v>
      </c>
      <c r="E24" t="s">
        <v>183</v>
      </c>
      <c r="F24" t="s">
        <v>184</v>
      </c>
      <c r="G24">
        <v>5</v>
      </c>
      <c r="H24">
        <v>0</v>
      </c>
      <c r="I24">
        <v>0</v>
      </c>
      <c r="J24" s="26">
        <f>IF(OR($C24&lt;&gt;"Attack",$I24&lt;=0),0,CEILING(($I24/10)*(IF($E24="ShieldHp",Inputs!$B$33,IF($E24="DefensePower",Inputs!$B$28,Inputs!$B$5))/MAX(1,Inputs!$B$32))*Inputs!$B$34,1))</f>
        <v>0</v>
      </c>
      <c r="K24">
        <v>0</v>
      </c>
      <c r="L24" s="26">
        <f t="shared" si="0"/>
        <v>0</v>
      </c>
      <c r="M24" s="26" t="s">
        <v>261</v>
      </c>
      <c r="N24" s="26" t="s">
        <v>261</v>
      </c>
    </row>
    <row r="25" spans="1:14">
      <c r="A25" t="s">
        <v>262</v>
      </c>
      <c r="B25" t="s">
        <v>263</v>
      </c>
      <c r="C25" t="s">
        <v>259</v>
      </c>
      <c r="D25" t="s">
        <v>233</v>
      </c>
      <c r="E25" t="s">
        <v>183</v>
      </c>
      <c r="F25" t="s">
        <v>184</v>
      </c>
      <c r="G25">
        <v>5</v>
      </c>
      <c r="H25">
        <v>0</v>
      </c>
      <c r="I25">
        <v>0</v>
      </c>
      <c r="J25" s="26">
        <f>IF(OR($C25&lt;&gt;"Attack",$I25&lt;=0),0,CEILING(($I25/10)*(IF($E25="ShieldHp",Inputs!$B$33,IF($E25="DefensePower",Inputs!$B$28,Inputs!$B$5))/MAX(1,Inputs!$B$32))*Inputs!$B$34,1))</f>
        <v>0</v>
      </c>
      <c r="K25">
        <v>0</v>
      </c>
      <c r="L25" s="26">
        <f t="shared" si="0"/>
        <v>0</v>
      </c>
      <c r="M25" s="26" t="s">
        <v>264</v>
      </c>
      <c r="N25" s="26" t="s">
        <v>265</v>
      </c>
    </row>
    <row r="26" spans="1:14">
      <c r="A26" t="s">
        <v>266</v>
      </c>
      <c r="B26" t="s">
        <v>267</v>
      </c>
      <c r="C26" t="s">
        <v>259</v>
      </c>
      <c r="D26" t="s">
        <v>268</v>
      </c>
      <c r="E26" t="s">
        <v>183</v>
      </c>
      <c r="F26" t="s">
        <v>184</v>
      </c>
      <c r="G26">
        <v>5</v>
      </c>
      <c r="H26">
        <v>0</v>
      </c>
      <c r="I26">
        <v>0</v>
      </c>
      <c r="J26" s="26">
        <f>IF(OR($C26&lt;&gt;"Attack",$I26&lt;=0),0,CEILING(($I26/10)*(IF($E26="ShieldHp",Inputs!$B$33,IF($E26="DefensePower",Inputs!$B$28,Inputs!$B$5))/MAX(1,Inputs!$B$32))*Inputs!$B$34,1))</f>
        <v>0</v>
      </c>
      <c r="K26">
        <v>0</v>
      </c>
      <c r="L26" s="26">
        <f t="shared" si="0"/>
        <v>0</v>
      </c>
      <c r="M26" s="26" t="s">
        <v>269</v>
      </c>
      <c r="N26" s="26" t="s">
        <v>270</v>
      </c>
    </row>
    <row r="27" spans="1:14" ht="28.5">
      <c r="A27" t="s">
        <v>271</v>
      </c>
      <c r="B27" t="s">
        <v>272</v>
      </c>
      <c r="C27" t="s">
        <v>259</v>
      </c>
      <c r="D27" t="s">
        <v>273</v>
      </c>
      <c r="E27" t="s">
        <v>183</v>
      </c>
      <c r="F27" t="s">
        <v>209</v>
      </c>
      <c r="G27">
        <v>5</v>
      </c>
      <c r="H27">
        <v>0</v>
      </c>
      <c r="I27">
        <v>0</v>
      </c>
      <c r="J27" s="26">
        <f>IF(OR($C27&lt;&gt;"Attack",$I27&lt;=0),0,CEILING(($I27/10)*(IF($E27="ShieldHp",Inputs!$B$33,IF($E27="DefensePower",Inputs!$B$28,Inputs!$B$5))/MAX(1,Inputs!$B$32))*Inputs!$B$34,1))</f>
        <v>0</v>
      </c>
      <c r="K27">
        <v>0</v>
      </c>
      <c r="L27" s="26">
        <f t="shared" si="0"/>
        <v>0</v>
      </c>
      <c r="M27" s="26" t="s">
        <v>274</v>
      </c>
      <c r="N27" s="26" t="s">
        <v>275</v>
      </c>
    </row>
    <row r="28" spans="1:14" ht="28.5">
      <c r="A28" t="s">
        <v>276</v>
      </c>
      <c r="B28" t="s">
        <v>277</v>
      </c>
      <c r="C28" t="s">
        <v>259</v>
      </c>
      <c r="D28" t="s">
        <v>278</v>
      </c>
      <c r="E28" t="s">
        <v>183</v>
      </c>
      <c r="F28" t="s">
        <v>184</v>
      </c>
      <c r="G28">
        <v>6</v>
      </c>
      <c r="H28">
        <v>0</v>
      </c>
      <c r="I28">
        <v>0</v>
      </c>
      <c r="J28" s="26">
        <f>IF(OR($C28&lt;&gt;"Attack",$I28&lt;=0),0,CEILING(($I28/10)*(IF($E28="ShieldHp",Inputs!$B$33,IF($E28="DefensePower",Inputs!$B$28,Inputs!$B$5))/MAX(1,Inputs!$B$32))*Inputs!$B$34,1))</f>
        <v>0</v>
      </c>
      <c r="K28">
        <v>0</v>
      </c>
      <c r="L28" s="26">
        <f t="shared" si="0"/>
        <v>0</v>
      </c>
      <c r="M28" s="26" t="s">
        <v>279</v>
      </c>
      <c r="N28" s="26" t="s">
        <v>279</v>
      </c>
    </row>
    <row r="29" spans="1:14" ht="28.5">
      <c r="A29" t="s">
        <v>280</v>
      </c>
      <c r="B29" t="s">
        <v>281</v>
      </c>
      <c r="C29" t="s">
        <v>282</v>
      </c>
      <c r="D29" t="s">
        <v>283</v>
      </c>
      <c r="E29" t="s">
        <v>183</v>
      </c>
      <c r="F29" t="s">
        <v>209</v>
      </c>
      <c r="G29">
        <v>4</v>
      </c>
      <c r="H29">
        <v>0</v>
      </c>
      <c r="I29">
        <v>0</v>
      </c>
      <c r="J29" s="26">
        <f>IF(OR($C29&lt;&gt;"Attack",$I29&lt;=0),0,CEILING(($I29/10)*(IF($E29="ShieldHp",Inputs!$B$33,IF($E29="DefensePower",Inputs!$B$28,Inputs!$B$5))/MAX(1,Inputs!$B$32))*Inputs!$B$34,1))</f>
        <v>0</v>
      </c>
      <c r="K29">
        <v>0</v>
      </c>
      <c r="L29" s="26">
        <f t="shared" si="0"/>
        <v>0</v>
      </c>
      <c r="M29" s="26" t="s">
        <v>284</v>
      </c>
      <c r="N29" s="26" t="s">
        <v>284</v>
      </c>
    </row>
    <row r="30" spans="1:14">
      <c r="A30" t="s">
        <v>285</v>
      </c>
      <c r="B30" t="s">
        <v>286</v>
      </c>
      <c r="C30" t="s">
        <v>282</v>
      </c>
      <c r="D30" t="s">
        <v>287</v>
      </c>
      <c r="E30" t="s">
        <v>183</v>
      </c>
      <c r="F30" t="s">
        <v>209</v>
      </c>
      <c r="G30">
        <v>4</v>
      </c>
      <c r="H30">
        <v>0</v>
      </c>
      <c r="I30">
        <v>0</v>
      </c>
      <c r="J30" s="26">
        <f>IF(OR($C30&lt;&gt;"Attack",$I30&lt;=0),0,CEILING(($I30/10)*(IF($E30="ShieldHp",Inputs!$B$33,IF($E30="DefensePower",Inputs!$B$28,Inputs!$B$5))/MAX(1,Inputs!$B$32))*Inputs!$B$34,1))</f>
        <v>0</v>
      </c>
      <c r="K30">
        <v>0</v>
      </c>
      <c r="L30" s="26">
        <f t="shared" si="0"/>
        <v>0</v>
      </c>
      <c r="M30" s="26" t="s">
        <v>288</v>
      </c>
      <c r="N30" s="26" t="s">
        <v>288</v>
      </c>
    </row>
    <row r="31" spans="1:14">
      <c r="A31" t="s">
        <v>289</v>
      </c>
      <c r="B31" t="s">
        <v>290</v>
      </c>
      <c r="C31" t="s">
        <v>282</v>
      </c>
      <c r="D31" t="s">
        <v>291</v>
      </c>
      <c r="E31" t="s">
        <v>183</v>
      </c>
      <c r="F31" t="s">
        <v>184</v>
      </c>
      <c r="G31">
        <v>4</v>
      </c>
      <c r="H31">
        <v>0</v>
      </c>
      <c r="I31">
        <v>0</v>
      </c>
      <c r="J31" s="26">
        <f>IF(OR($C31&lt;&gt;"Attack",$I31&lt;=0),0,CEILING(($I31/10)*(IF($E31="ShieldHp",Inputs!$B$33,IF($E31="DefensePower",Inputs!$B$28,Inputs!$B$5))/MAX(1,Inputs!$B$32))*Inputs!$B$34,1))</f>
        <v>0</v>
      </c>
      <c r="K31">
        <v>0</v>
      </c>
      <c r="L31" s="26">
        <f t="shared" si="0"/>
        <v>0</v>
      </c>
      <c r="M31" s="26" t="s">
        <v>292</v>
      </c>
      <c r="N31" s="26" t="s">
        <v>293</v>
      </c>
    </row>
    <row r="32" spans="1:14">
      <c r="A32" t="s">
        <v>294</v>
      </c>
      <c r="B32" t="s">
        <v>295</v>
      </c>
      <c r="C32" t="s">
        <v>282</v>
      </c>
      <c r="D32" t="s">
        <v>296</v>
      </c>
      <c r="E32" t="s">
        <v>183</v>
      </c>
      <c r="F32" t="s">
        <v>184</v>
      </c>
      <c r="G32">
        <v>4</v>
      </c>
      <c r="H32">
        <v>30</v>
      </c>
      <c r="I32">
        <v>30</v>
      </c>
      <c r="J32" s="26">
        <f>IF(OR($C32&lt;&gt;"Attack",$I32&lt;=0),0,CEILING(($I32/10)*(IF($E32="ShieldHp",Inputs!$B$33,IF($E32="DefensePower",Inputs!$B$28,Inputs!$B$5))/MAX(1,Inputs!$B$32))*Inputs!$B$34,1))</f>
        <v>0</v>
      </c>
      <c r="K32">
        <v>30</v>
      </c>
      <c r="L32" s="26">
        <f t="shared" si="0"/>
        <v>0</v>
      </c>
      <c r="M32" s="26" t="s">
        <v>297</v>
      </c>
      <c r="N32" s="26" t="s">
        <v>297</v>
      </c>
    </row>
    <row r="33" spans="1:14">
      <c r="A33" t="s">
        <v>298</v>
      </c>
      <c r="B33" t="s">
        <v>299</v>
      </c>
      <c r="C33" t="s">
        <v>282</v>
      </c>
      <c r="D33" s="26" t="s">
        <v>300</v>
      </c>
      <c r="E33" t="s">
        <v>183</v>
      </c>
      <c r="F33" t="s">
        <v>209</v>
      </c>
      <c r="G33">
        <v>5</v>
      </c>
      <c r="H33">
        <v>0</v>
      </c>
      <c r="I33">
        <v>0</v>
      </c>
      <c r="J33" s="26">
        <f>IF(OR($C33&lt;&gt;"Attack",$I33&lt;=0),0,CEILING(($I33/10)*(IF($E33="ShieldHp",Inputs!$B$33,IF($E33="DefensePower",Inputs!$B$28,Inputs!$B$5))/MAX(1,Inputs!$B$32))*Inputs!$B$34,1))</f>
        <v>0</v>
      </c>
      <c r="K33">
        <v>0</v>
      </c>
      <c r="L33" s="26">
        <f t="shared" si="0"/>
        <v>0</v>
      </c>
      <c r="M33" s="26" t="s">
        <v>301</v>
      </c>
      <c r="N33" s="26" t="s">
        <v>301</v>
      </c>
    </row>
    <row r="34" spans="1:14">
      <c r="A34" t="s">
        <v>302</v>
      </c>
      <c r="B34" t="s">
        <v>303</v>
      </c>
      <c r="C34" t="s">
        <v>282</v>
      </c>
      <c r="D34" t="s">
        <v>304</v>
      </c>
      <c r="E34" t="s">
        <v>183</v>
      </c>
      <c r="F34" t="s">
        <v>184</v>
      </c>
      <c r="G34">
        <v>6</v>
      </c>
      <c r="H34">
        <v>0</v>
      </c>
      <c r="I34">
        <v>0</v>
      </c>
      <c r="J34" s="26">
        <f>IF(OR($C34&lt;&gt;"Attack",$I34&lt;=0),0,CEILING(($I34/10)*(IF($E34="ShieldHp",Inputs!$B$33,IF($E34="DefensePower",Inputs!$B$28,Inputs!$B$5))/MAX(1,Inputs!$B$32))*Inputs!$B$34,1))</f>
        <v>0</v>
      </c>
      <c r="K34">
        <v>0</v>
      </c>
      <c r="L34" s="26">
        <f t="shared" si="0"/>
        <v>0</v>
      </c>
      <c r="M34" s="26" t="s">
        <v>305</v>
      </c>
      <c r="N34" s="26" t="s">
        <v>305</v>
      </c>
    </row>
    <row r="35" spans="1:14">
      <c r="A35" t="s">
        <v>306</v>
      </c>
      <c r="B35" t="s">
        <v>307</v>
      </c>
      <c r="C35" t="s">
        <v>282</v>
      </c>
      <c r="D35" t="s">
        <v>308</v>
      </c>
      <c r="E35" t="s">
        <v>183</v>
      </c>
      <c r="F35" t="s">
        <v>184</v>
      </c>
      <c r="G35">
        <v>6</v>
      </c>
      <c r="H35">
        <v>0</v>
      </c>
      <c r="I35">
        <v>0</v>
      </c>
      <c r="J35" s="26">
        <f>IF(OR($C35&lt;&gt;"Attack",$I35&lt;=0),0,CEILING(($I35/10)*(IF($E35="ShieldHp",Inputs!$B$33,IF($E35="DefensePower",Inputs!$B$28,Inputs!$B$5))/MAX(1,Inputs!$B$32))*Inputs!$B$34,1))</f>
        <v>0</v>
      </c>
      <c r="K35">
        <v>0</v>
      </c>
      <c r="L35" s="26">
        <f t="shared" si="0"/>
        <v>0</v>
      </c>
      <c r="M35" s="26" t="s">
        <v>309</v>
      </c>
      <c r="N35" s="26" t="s">
        <v>310</v>
      </c>
    </row>
    <row r="36" spans="1:14">
      <c r="A36" t="s">
        <v>311</v>
      </c>
      <c r="B36" t="s">
        <v>312</v>
      </c>
      <c r="C36" t="s">
        <v>282</v>
      </c>
      <c r="D36" t="s">
        <v>296</v>
      </c>
      <c r="E36" t="s">
        <v>183</v>
      </c>
      <c r="F36" t="s">
        <v>209</v>
      </c>
      <c r="G36">
        <v>6</v>
      </c>
      <c r="H36">
        <v>60</v>
      </c>
      <c r="I36">
        <v>60</v>
      </c>
      <c r="J36" s="26">
        <f>IF(OR($C36&lt;&gt;"Attack",$I36&lt;=0),0,CEILING(($I36/10)*(IF($E36="ShieldHp",Inputs!$B$33,IF($E36="DefensePower",Inputs!$B$28,Inputs!$B$5))/MAX(1,Inputs!$B$32))*Inputs!$B$34,1))</f>
        <v>0</v>
      </c>
      <c r="K36">
        <v>60</v>
      </c>
      <c r="L36" s="26">
        <f t="shared" si="0"/>
        <v>0</v>
      </c>
      <c r="M36" s="26" t="s">
        <v>313</v>
      </c>
      <c r="N36" s="26" t="s">
        <v>313</v>
      </c>
    </row>
    <row r="37" spans="1:14">
      <c r="A37" t="s">
        <v>314</v>
      </c>
      <c r="B37" t="s">
        <v>315</v>
      </c>
      <c r="C37" t="s">
        <v>282</v>
      </c>
      <c r="D37" t="s">
        <v>316</v>
      </c>
      <c r="E37" t="s">
        <v>183</v>
      </c>
      <c r="F37" t="s">
        <v>209</v>
      </c>
      <c r="G37">
        <v>6</v>
      </c>
      <c r="H37">
        <v>0</v>
      </c>
      <c r="I37">
        <v>0</v>
      </c>
      <c r="J37" s="26">
        <f>IF(OR($C37&lt;&gt;"Attack",$I37&lt;=0),0,CEILING(($I37/10)*(IF($E37="ShieldHp",Inputs!$B$33,IF($E37="DefensePower",Inputs!$B$28,Inputs!$B$5))/MAX(1,Inputs!$B$32))*Inputs!$B$34,1))</f>
        <v>0</v>
      </c>
      <c r="K37">
        <v>0</v>
      </c>
      <c r="L37" s="26">
        <f t="shared" si="0"/>
        <v>0</v>
      </c>
      <c r="M37" s="26" t="s">
        <v>317</v>
      </c>
      <c r="N37" s="26" t="s">
        <v>317</v>
      </c>
    </row>
    <row r="38" spans="1:14">
      <c r="A38" t="s">
        <v>318</v>
      </c>
      <c r="B38" t="s">
        <v>319</v>
      </c>
      <c r="C38" t="s">
        <v>282</v>
      </c>
      <c r="D38" t="s">
        <v>291</v>
      </c>
      <c r="E38" t="s">
        <v>183</v>
      </c>
      <c r="F38" t="s">
        <v>184</v>
      </c>
      <c r="G38">
        <v>6</v>
      </c>
      <c r="H38">
        <v>0</v>
      </c>
      <c r="I38">
        <v>0</v>
      </c>
      <c r="J38" s="26">
        <f>IF(OR($C38&lt;&gt;"Attack",$I38&lt;=0),0,CEILING(($I38/10)*(IF($E38="ShieldHp",Inputs!$B$33,IF($E38="DefensePower",Inputs!$B$28,Inputs!$B$5))/MAX(1,Inputs!$B$32))*Inputs!$B$34,1))</f>
        <v>0</v>
      </c>
      <c r="K38">
        <v>0</v>
      </c>
      <c r="L38" s="26">
        <f t="shared" si="0"/>
        <v>0</v>
      </c>
      <c r="M38" s="26" t="s">
        <v>320</v>
      </c>
      <c r="N38" s="26" t="s">
        <v>321</v>
      </c>
    </row>
    <row r="39" spans="1:14" ht="28.5">
      <c r="A39" t="s">
        <v>322</v>
      </c>
      <c r="B39" t="s">
        <v>323</v>
      </c>
      <c r="C39" t="s">
        <v>282</v>
      </c>
      <c r="D39" t="s">
        <v>324</v>
      </c>
      <c r="E39" t="s">
        <v>183</v>
      </c>
      <c r="F39" t="s">
        <v>184</v>
      </c>
      <c r="G39">
        <v>7</v>
      </c>
      <c r="H39">
        <v>40</v>
      </c>
      <c r="I39">
        <v>40</v>
      </c>
      <c r="J39" s="26">
        <f>IF(OR($C39&lt;&gt;"Attack",$I39&lt;=0),0,CEILING(($I39/10)*(IF($E39="ShieldHp",Inputs!$B$33,IF($E39="DefensePower",Inputs!$B$28,Inputs!$B$5))/MAX(1,Inputs!$B$32))*Inputs!$B$34,1))</f>
        <v>0</v>
      </c>
      <c r="K39">
        <v>40</v>
      </c>
      <c r="L39" s="26">
        <f t="shared" si="0"/>
        <v>0</v>
      </c>
      <c r="M39" s="26" t="s">
        <v>325</v>
      </c>
      <c r="N39" s="26" t="s">
        <v>325</v>
      </c>
    </row>
    <row r="40" spans="1:14">
      <c r="A40" t="s">
        <v>326</v>
      </c>
      <c r="B40" t="s">
        <v>327</v>
      </c>
      <c r="C40" t="s">
        <v>328</v>
      </c>
      <c r="D40" t="s">
        <v>328</v>
      </c>
      <c r="E40" t="s">
        <v>183</v>
      </c>
      <c r="F40" t="s">
        <v>209</v>
      </c>
      <c r="G40">
        <v>6</v>
      </c>
      <c r="H40">
        <v>0</v>
      </c>
      <c r="I40">
        <v>0</v>
      </c>
      <c r="J40" s="26">
        <f>IF(OR($C40&lt;&gt;"Attack",$I40&lt;=0),0,CEILING(($I40/10)*(IF($E40="ShieldHp",Inputs!$B$33,IF($E40="DefensePower",Inputs!$B$28,Inputs!$B$5))/MAX(1,Inputs!$B$32))*Inputs!$B$34,1))</f>
        <v>0</v>
      </c>
      <c r="K40">
        <v>0.25</v>
      </c>
      <c r="L40" s="26">
        <f t="shared" si="0"/>
        <v>0</v>
      </c>
      <c r="M40" s="26" t="s">
        <v>329</v>
      </c>
      <c r="N40" s="26" t="s">
        <v>329</v>
      </c>
    </row>
    <row r="41" spans="1:14">
      <c r="A41" t="s">
        <v>330</v>
      </c>
      <c r="B41" t="s">
        <v>331</v>
      </c>
      <c r="C41" t="s">
        <v>181</v>
      </c>
      <c r="D41" s="26" t="s">
        <v>216</v>
      </c>
      <c r="E41" t="s">
        <v>183</v>
      </c>
      <c r="F41" t="s">
        <v>332</v>
      </c>
      <c r="G41">
        <v>0</v>
      </c>
      <c r="H41">
        <v>40</v>
      </c>
      <c r="I41">
        <v>40</v>
      </c>
      <c r="J41" s="26">
        <f>IF(OR($C41&lt;&gt;"Attack",$I41&lt;=0),0,CEILING(($I41/10)*(IF($E41="ShieldHp",Inputs!$B$33,IF($E41="DefensePower",Inputs!$B$28,Inputs!$B$5))/MAX(1,Inputs!$B$32))*Inputs!$B$34,1))</f>
        <v>1200</v>
      </c>
      <c r="K41">
        <v>0</v>
      </c>
      <c r="L41" s="26" t="str">
        <f t="shared" si="0"/>
        <v/>
      </c>
      <c r="M41" s="26" t="s">
        <v>333</v>
      </c>
      <c r="N41" s="26" t="s">
        <v>333</v>
      </c>
    </row>
    <row r="42" spans="1:14" ht="28.5">
      <c r="A42" t="s">
        <v>334</v>
      </c>
      <c r="B42" t="s">
        <v>335</v>
      </c>
      <c r="C42" t="s">
        <v>259</v>
      </c>
      <c r="D42" t="s">
        <v>336</v>
      </c>
      <c r="E42" t="s">
        <v>183</v>
      </c>
      <c r="F42" t="s">
        <v>332</v>
      </c>
      <c r="G42">
        <v>0</v>
      </c>
      <c r="H42">
        <v>0</v>
      </c>
      <c r="I42">
        <v>0</v>
      </c>
      <c r="J42" s="26">
        <f>IF(OR($C42&lt;&gt;"Attack",$I42&lt;=0),0,CEILING(($I42/10)*(IF($E42="ShieldHp",Inputs!$B$33,IF($E42="DefensePower",Inputs!$B$28,Inputs!$B$5))/MAX(1,Inputs!$B$32))*Inputs!$B$34,1))</f>
        <v>0</v>
      </c>
      <c r="K42">
        <v>0</v>
      </c>
      <c r="L42" s="26" t="str">
        <f t="shared" si="0"/>
        <v/>
      </c>
      <c r="M42" s="26" t="s">
        <v>337</v>
      </c>
      <c r="N42" s="26" t="s">
        <v>337</v>
      </c>
    </row>
    <row r="43" spans="1:14">
      <c r="A43" t="s">
        <v>338</v>
      </c>
      <c r="B43" t="s">
        <v>339</v>
      </c>
      <c r="C43" t="s">
        <v>259</v>
      </c>
      <c r="D43" t="s">
        <v>336</v>
      </c>
      <c r="E43" t="s">
        <v>183</v>
      </c>
      <c r="F43" t="s">
        <v>332</v>
      </c>
      <c r="G43">
        <v>0</v>
      </c>
      <c r="H43">
        <v>0</v>
      </c>
      <c r="I43">
        <v>0</v>
      </c>
      <c r="J43" s="26">
        <f>IF(OR($C43&lt;&gt;"Attack",$I43&lt;=0),0,CEILING(($I43/10)*(IF($E43="ShieldHp",Inputs!$B$33,IF($E43="DefensePower",Inputs!$B$28,Inputs!$B$5))/MAX(1,Inputs!$B$32))*Inputs!$B$34,1))</f>
        <v>0</v>
      </c>
      <c r="K43">
        <v>0</v>
      </c>
      <c r="L43" s="26" t="str">
        <f t="shared" si="0"/>
        <v/>
      </c>
      <c r="M43" s="26" t="s">
        <v>340</v>
      </c>
      <c r="N43" s="26" t="s">
        <v>340</v>
      </c>
    </row>
    <row r="44" spans="1:14">
      <c r="A44" t="s">
        <v>341</v>
      </c>
      <c r="B44" t="s">
        <v>342</v>
      </c>
      <c r="C44" t="s">
        <v>259</v>
      </c>
      <c r="D44" t="s">
        <v>343</v>
      </c>
      <c r="E44" t="s">
        <v>183</v>
      </c>
      <c r="F44" t="s">
        <v>332</v>
      </c>
      <c r="G44">
        <v>0</v>
      </c>
      <c r="H44">
        <v>0</v>
      </c>
      <c r="I44">
        <v>0</v>
      </c>
      <c r="J44" s="26">
        <f>IF(OR($C44&lt;&gt;"Attack",$I44&lt;=0),0,CEILING(($I44/10)*(IF($E44="ShieldHp",Inputs!$B$33,IF($E44="DefensePower",Inputs!$B$28,Inputs!$B$5))/MAX(1,Inputs!$B$32))*Inputs!$B$34,1))</f>
        <v>0</v>
      </c>
      <c r="K44">
        <v>0</v>
      </c>
      <c r="L44" s="26" t="str">
        <f t="shared" si="0"/>
        <v/>
      </c>
      <c r="M44" s="26" t="s">
        <v>344</v>
      </c>
      <c r="N44" s="26" t="s">
        <v>344</v>
      </c>
    </row>
    <row r="45" spans="1:14">
      <c r="A45" t="s">
        <v>345</v>
      </c>
      <c r="B45" t="s">
        <v>346</v>
      </c>
      <c r="C45" t="s">
        <v>259</v>
      </c>
      <c r="D45" t="s">
        <v>343</v>
      </c>
      <c r="E45" t="s">
        <v>183</v>
      </c>
      <c r="F45" t="s">
        <v>332</v>
      </c>
      <c r="G45">
        <v>0</v>
      </c>
      <c r="H45">
        <v>0</v>
      </c>
      <c r="I45">
        <v>0</v>
      </c>
      <c r="J45" s="26">
        <f>IF(OR($C45&lt;&gt;"Attack",$I45&lt;=0),0,CEILING(($I45/10)*(IF($E45="ShieldHp",Inputs!$B$33,IF($E45="DefensePower",Inputs!$B$28,Inputs!$B$5))/MAX(1,Inputs!$B$32))*Inputs!$B$34,1))</f>
        <v>0</v>
      </c>
      <c r="K45">
        <v>0</v>
      </c>
      <c r="L45" s="26" t="str">
        <f t="shared" si="0"/>
        <v/>
      </c>
      <c r="M45" s="26" t="s">
        <v>347</v>
      </c>
      <c r="N45" s="26" t="s">
        <v>347</v>
      </c>
    </row>
  </sheetData>
  <phoneticPr fontId="9" type="noConversion"/>
  <conditionalFormatting sqref="K5:L9">
    <cfRule type="colorScale" priority="1">
      <colorScale>
        <cfvo type="min"/>
        <cfvo type="percentile" val="50"/>
        <cfvo type="max"/>
        <color rgb="FFF8D7DA"/>
        <color rgb="FFFFF3BF"/>
        <color rgb="FFDFF4E7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300-000000000000}">
          <x14:formula1>
            <xm:f>Lists!$A$2:$A$5</xm:f>
          </x14:formula1>
          <xm:sqref>C5:C45</xm:sqref>
        </x14:dataValidation>
        <x14:dataValidation type="list" allowBlank="1" xr:uid="{00000000-0002-0000-0300-000001000000}">
          <x14:formula1>
            <xm:f>Lists!$H$2:$H$5</xm:f>
          </x14:formula1>
          <xm:sqref>F5:F45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6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20" customWidth="1"/>
    <col min="2" max="2" width="16" customWidth="1"/>
    <col min="3" max="4" width="14" customWidth="1"/>
    <col min="5" max="5" width="18" customWidth="1"/>
    <col min="6" max="6" width="10" customWidth="1"/>
    <col min="7" max="8" width="12" customWidth="1"/>
    <col min="9" max="9" width="13" customWidth="1"/>
    <col min="10" max="10" width="12" customWidth="1"/>
    <col min="11" max="11" width="11.5" customWidth="1"/>
    <col min="12" max="14" width="10.75" customWidth="1"/>
    <col min="15" max="18" width="18" customWidth="1"/>
    <col min="19" max="21" width="14.75" customWidth="1"/>
    <col min="22" max="22" width="12.125" customWidth="1"/>
    <col min="23" max="23" width="11.5" customWidth="1"/>
    <col min="24" max="24" width="31.625" customWidth="1"/>
    <col min="27" max="27" width="42" customWidth="1"/>
  </cols>
  <sheetData>
    <row r="1" spans="1:27" ht="25.5" customHeight="1">
      <c r="A1" s="18" t="s">
        <v>348</v>
      </c>
    </row>
    <row r="2" spans="1:27" ht="19.5" customHeight="1">
      <c r="A2" s="21" t="s">
        <v>349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</row>
    <row r="3" spans="1:27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</row>
    <row r="4" spans="1:27" ht="30">
      <c r="A4" s="20" t="s">
        <v>8</v>
      </c>
      <c r="B4" s="20" t="s">
        <v>350</v>
      </c>
      <c r="C4" s="20" t="s">
        <v>351</v>
      </c>
      <c r="D4" s="20" t="s">
        <v>352</v>
      </c>
      <c r="E4" s="20" t="s">
        <v>353</v>
      </c>
      <c r="F4" s="20" t="s">
        <v>6</v>
      </c>
      <c r="G4" s="20" t="s">
        <v>354</v>
      </c>
      <c r="H4" s="20" t="s">
        <v>355</v>
      </c>
      <c r="I4" s="20" t="s">
        <v>356</v>
      </c>
      <c r="J4" s="20" t="s">
        <v>357</v>
      </c>
      <c r="K4" s="20" t="s">
        <v>358</v>
      </c>
      <c r="L4" s="20" t="s">
        <v>359</v>
      </c>
      <c r="M4" s="20" t="s">
        <v>360</v>
      </c>
      <c r="N4" s="20" t="s">
        <v>361</v>
      </c>
      <c r="O4" s="20" t="s">
        <v>362</v>
      </c>
      <c r="P4" s="20" t="s">
        <v>363</v>
      </c>
      <c r="Q4" s="20" t="s">
        <v>364</v>
      </c>
      <c r="R4" s="20" t="s">
        <v>365</v>
      </c>
      <c r="S4" s="20" t="s">
        <v>366</v>
      </c>
      <c r="T4" s="20" t="s">
        <v>367</v>
      </c>
      <c r="U4" s="20" t="s">
        <v>368</v>
      </c>
      <c r="V4" s="20" t="s">
        <v>369</v>
      </c>
      <c r="W4" s="20" t="s">
        <v>370</v>
      </c>
      <c r="X4" s="20" t="s">
        <v>371</v>
      </c>
      <c r="Y4" s="20" t="s">
        <v>372</v>
      </c>
      <c r="Z4" s="20" t="s">
        <v>31</v>
      </c>
      <c r="AA4" s="20" t="s">
        <v>373</v>
      </c>
    </row>
    <row r="5" spans="1:27">
      <c r="A5" s="2" t="s">
        <v>374</v>
      </c>
      <c r="B5" s="3" t="s">
        <v>375</v>
      </c>
      <c r="C5" s="3" t="s">
        <v>375</v>
      </c>
      <c r="D5" s="3" t="s">
        <v>376</v>
      </c>
      <c r="E5" s="12" t="s">
        <v>377</v>
      </c>
      <c r="F5" s="12">
        <v>150</v>
      </c>
      <c r="G5" s="12">
        <v>5</v>
      </c>
      <c r="H5" s="12">
        <v>0</v>
      </c>
      <c r="I5" s="12">
        <v>3</v>
      </c>
      <c r="J5" s="12">
        <v>1</v>
      </c>
      <c r="K5" s="12">
        <v>0</v>
      </c>
      <c r="L5" s="6">
        <v>1.5</v>
      </c>
      <c r="M5" s="6">
        <v>1</v>
      </c>
      <c r="N5" s="6">
        <v>3</v>
      </c>
      <c r="O5" s="4" t="s">
        <v>180</v>
      </c>
      <c r="P5" s="4" t="s">
        <v>378</v>
      </c>
      <c r="Q5" s="4" t="s">
        <v>295</v>
      </c>
      <c r="R5" s="4" t="s">
        <v>267</v>
      </c>
      <c r="S5" s="27">
        <f>IF($D5="AttackHeavy",Inputs!$B$21/(Inputs!$B$21+Inputs!$B$22),IF($D5="DefenseHeavy",Inputs!$B$23/(Inputs!$B$23+Inputs!$B$24),Inputs!$B$19/(Inputs!$B$19+Inputs!$B$20)))</f>
        <v>0.5</v>
      </c>
      <c r="T5" s="4">
        <f t="shared" ref="T5:T16" si="0">1-$S5</f>
        <v>0.5</v>
      </c>
      <c r="U5" s="27">
        <f>IF($C5="Enhanced",Inputs!$B$18,1)</f>
        <v>1</v>
      </c>
      <c r="V5" s="4">
        <f t="shared" ref="V5:V16" si="1">CEILING($G5*$U5,1)</f>
        <v>5</v>
      </c>
      <c r="W5" s="4">
        <f t="shared" ref="W5:W16" si="2">CEILING($I5*$U5,1)</f>
        <v>3</v>
      </c>
      <c r="X5" s="25">
        <f>CEILING(($V5)*($G5/MAX(1,Inputs!$B$29))*Inputs!$B$35,1)*$S5*$M5</f>
        <v>6</v>
      </c>
      <c r="Y5" s="26">
        <f>IF(MAX(Skills!$J$5:$J$46)&gt;0,CEILING($F5/MAX(Skills!$J$5:$J$46),1),"")</f>
        <v>1</v>
      </c>
      <c r="Z5" s="26">
        <f t="shared" ref="Z5:Z16" si="3">ROUND(($X5*2)+($W5*0.4)+($F5/30)+($M5*4)+($K5*20)+($Y5*1.5),1)</f>
        <v>23.7</v>
      </c>
      <c r="AA5" s="26" t="s">
        <v>379</v>
      </c>
    </row>
    <row r="6" spans="1:27">
      <c r="A6" s="2" t="s">
        <v>380</v>
      </c>
      <c r="B6" s="3" t="s">
        <v>375</v>
      </c>
      <c r="C6" s="3" t="s">
        <v>375</v>
      </c>
      <c r="D6" s="3" t="s">
        <v>376</v>
      </c>
      <c r="E6" s="12" t="s">
        <v>377</v>
      </c>
      <c r="F6" s="12">
        <v>190</v>
      </c>
      <c r="G6" s="12">
        <v>5</v>
      </c>
      <c r="H6" s="12">
        <v>0</v>
      </c>
      <c r="I6" s="12">
        <v>5</v>
      </c>
      <c r="J6" s="12">
        <v>2</v>
      </c>
      <c r="K6" s="12">
        <v>0</v>
      </c>
      <c r="L6" s="6">
        <v>1.5</v>
      </c>
      <c r="M6" s="6">
        <v>1</v>
      </c>
      <c r="N6" s="6">
        <v>3</v>
      </c>
      <c r="O6" s="4" t="s">
        <v>307</v>
      </c>
      <c r="P6" s="4" t="s">
        <v>223</v>
      </c>
      <c r="Q6" s="4" t="s">
        <v>381</v>
      </c>
      <c r="R6" s="4" t="s">
        <v>295</v>
      </c>
      <c r="S6" s="27">
        <f>IF($D6="AttackHeavy",Inputs!$B$21/(Inputs!$B$21+Inputs!$B$22),IF($D6="DefenseHeavy",Inputs!$B$23/(Inputs!$B$23+Inputs!$B$24),Inputs!$B$19/(Inputs!$B$19+Inputs!$B$20)))</f>
        <v>0.5</v>
      </c>
      <c r="T6" s="4">
        <f t="shared" si="0"/>
        <v>0.5</v>
      </c>
      <c r="U6" s="27">
        <f>IF($C6="Enhanced",Inputs!$B$18,1)</f>
        <v>1</v>
      </c>
      <c r="V6" s="4">
        <f t="shared" si="1"/>
        <v>5</v>
      </c>
      <c r="W6" s="4">
        <f t="shared" si="2"/>
        <v>5</v>
      </c>
      <c r="X6" s="25">
        <f>CEILING(($V6)*($G6/MAX(1,Inputs!$B$29))*Inputs!$B$35,1)*$S6*$M6</f>
        <v>6</v>
      </c>
      <c r="Y6" s="26">
        <f>IF(MAX(Skills!$J$5:$J$46)&gt;0,CEILING($F6/MAX(Skills!$J$5:$J$46),1),"")</f>
        <v>1</v>
      </c>
      <c r="Z6" s="26">
        <f t="shared" si="3"/>
        <v>25.8</v>
      </c>
      <c r="AA6" s="26" t="s">
        <v>382</v>
      </c>
    </row>
    <row r="7" spans="1:27">
      <c r="A7" s="2" t="s">
        <v>383</v>
      </c>
      <c r="B7" s="3" t="s">
        <v>375</v>
      </c>
      <c r="C7" s="3" t="s">
        <v>375</v>
      </c>
      <c r="D7" s="3" t="s">
        <v>376</v>
      </c>
      <c r="E7" s="12" t="s">
        <v>384</v>
      </c>
      <c r="F7" s="12">
        <v>140</v>
      </c>
      <c r="G7" s="12">
        <v>4</v>
      </c>
      <c r="H7" s="12">
        <v>0</v>
      </c>
      <c r="I7" s="12">
        <v>4</v>
      </c>
      <c r="J7" s="12">
        <v>2</v>
      </c>
      <c r="K7" s="12">
        <v>0</v>
      </c>
      <c r="L7" s="6">
        <v>1.5</v>
      </c>
      <c r="M7" s="6">
        <v>1</v>
      </c>
      <c r="N7" s="6">
        <v>3</v>
      </c>
      <c r="O7" s="4" t="s">
        <v>191</v>
      </c>
      <c r="P7" s="4" t="s">
        <v>331</v>
      </c>
      <c r="Q7" s="4" t="s">
        <v>252</v>
      </c>
      <c r="R7" s="4" t="s">
        <v>295</v>
      </c>
      <c r="S7" s="27">
        <f>IF($D7="AttackHeavy",Inputs!$B$21/(Inputs!$B$21+Inputs!$B$22),IF($D7="DefenseHeavy",Inputs!$B$23/(Inputs!$B$23+Inputs!$B$24),Inputs!$B$19/(Inputs!$B$19+Inputs!$B$20)))</f>
        <v>0.5</v>
      </c>
      <c r="T7" s="4">
        <f t="shared" si="0"/>
        <v>0.5</v>
      </c>
      <c r="U7" s="27">
        <f>IF($C7="Enhanced",Inputs!$B$18,1)</f>
        <v>1</v>
      </c>
      <c r="V7" s="4">
        <f t="shared" si="1"/>
        <v>4</v>
      </c>
      <c r="W7" s="4">
        <f t="shared" si="2"/>
        <v>4</v>
      </c>
      <c r="X7" s="25">
        <f>CEILING(($V7)*($G7/MAX(1,Inputs!$B$29))*Inputs!$B$35,1)*$S7*$M7</f>
        <v>4</v>
      </c>
      <c r="Y7" s="26">
        <f>IF(MAX(Skills!$J$5:$J$46)&gt;0,CEILING($F7/MAX(Skills!$J$5:$J$46),1),"")</f>
        <v>1</v>
      </c>
      <c r="Z7" s="26">
        <f t="shared" si="3"/>
        <v>19.8</v>
      </c>
      <c r="AA7" s="26" t="s">
        <v>385</v>
      </c>
    </row>
    <row r="8" spans="1:27">
      <c r="A8" s="2" t="s">
        <v>386</v>
      </c>
      <c r="B8" s="3" t="s">
        <v>375</v>
      </c>
      <c r="C8" s="3" t="s">
        <v>375</v>
      </c>
      <c r="D8" s="3" t="s">
        <v>376</v>
      </c>
      <c r="E8" s="12" t="s">
        <v>384</v>
      </c>
      <c r="F8" s="12">
        <v>180</v>
      </c>
      <c r="G8" s="12">
        <v>5</v>
      </c>
      <c r="H8" s="12">
        <v>0</v>
      </c>
      <c r="I8" s="12">
        <v>4</v>
      </c>
      <c r="J8" s="12">
        <v>2</v>
      </c>
      <c r="K8" s="12">
        <v>0</v>
      </c>
      <c r="L8" s="6">
        <v>1.5</v>
      </c>
      <c r="M8" s="6">
        <v>1</v>
      </c>
      <c r="N8" s="6">
        <v>3</v>
      </c>
      <c r="O8" s="4" t="s">
        <v>258</v>
      </c>
      <c r="P8" s="4" t="s">
        <v>331</v>
      </c>
      <c r="Q8" s="4" t="s">
        <v>295</v>
      </c>
      <c r="R8" s="4" t="s">
        <v>277</v>
      </c>
      <c r="S8" s="27">
        <f>IF($D8="AttackHeavy",Inputs!$B$21/(Inputs!$B$21+Inputs!$B$22),IF($D8="DefenseHeavy",Inputs!$B$23/(Inputs!$B$23+Inputs!$B$24),Inputs!$B$19/(Inputs!$B$19+Inputs!$B$20)))</f>
        <v>0.5</v>
      </c>
      <c r="T8" s="4">
        <f t="shared" si="0"/>
        <v>0.5</v>
      </c>
      <c r="U8" s="27">
        <f>IF($C8="Enhanced",Inputs!$B$18,1)</f>
        <v>1</v>
      </c>
      <c r="V8" s="4">
        <f t="shared" si="1"/>
        <v>5</v>
      </c>
      <c r="W8" s="4">
        <f t="shared" si="2"/>
        <v>4</v>
      </c>
      <c r="X8" s="25">
        <f>CEILING(($V8)*($G8/MAX(1,Inputs!$B$29))*Inputs!$B$35,1)*$S8*$M8</f>
        <v>6</v>
      </c>
      <c r="Y8" s="26">
        <f>IF(MAX(Skills!$J$5:$J$46)&gt;0,CEILING($F8/MAX(Skills!$J$5:$J$46),1),"")</f>
        <v>1</v>
      </c>
      <c r="Z8" s="26">
        <f t="shared" si="3"/>
        <v>25.1</v>
      </c>
      <c r="AA8" s="26" t="s">
        <v>387</v>
      </c>
    </row>
    <row r="9" spans="1:27">
      <c r="A9" s="2" t="s">
        <v>388</v>
      </c>
      <c r="B9" s="3" t="s">
        <v>389</v>
      </c>
      <c r="C9" s="3" t="s">
        <v>390</v>
      </c>
      <c r="D9" s="3" t="s">
        <v>391</v>
      </c>
      <c r="E9" s="12" t="s">
        <v>377</v>
      </c>
      <c r="F9" s="12">
        <v>150</v>
      </c>
      <c r="G9" s="12">
        <v>6</v>
      </c>
      <c r="H9" s="12">
        <v>0</v>
      </c>
      <c r="I9" s="12">
        <v>2</v>
      </c>
      <c r="J9" s="12">
        <v>1</v>
      </c>
      <c r="K9" s="12">
        <v>0</v>
      </c>
      <c r="L9" s="6">
        <v>1.5</v>
      </c>
      <c r="M9" s="6">
        <v>2</v>
      </c>
      <c r="N9" s="6">
        <v>3</v>
      </c>
      <c r="O9" s="4" t="s">
        <v>180</v>
      </c>
      <c r="P9" s="4" t="s">
        <v>203</v>
      </c>
      <c r="Q9" s="4" t="s">
        <v>295</v>
      </c>
      <c r="R9" s="4" t="s">
        <v>378</v>
      </c>
      <c r="S9" s="27">
        <f>IF($D9="AttackHeavy",Inputs!$B$21/(Inputs!$B$21+Inputs!$B$22),IF($D9="DefenseHeavy",Inputs!$B$23/(Inputs!$B$23+Inputs!$B$24),Inputs!$B$19/(Inputs!$B$19+Inputs!$B$20)))</f>
        <v>0.8</v>
      </c>
      <c r="T9" s="4">
        <f t="shared" si="0"/>
        <v>0.19999999999999996</v>
      </c>
      <c r="U9" s="27">
        <f>IF($C9="Enhanced",Inputs!$B$18,1)</f>
        <v>1.5</v>
      </c>
      <c r="V9" s="4">
        <f t="shared" si="1"/>
        <v>9</v>
      </c>
      <c r="W9" s="4">
        <f t="shared" si="2"/>
        <v>3</v>
      </c>
      <c r="X9" s="25">
        <f>CEILING(($V9)*($G9/MAX(1,Inputs!$B$29))*Inputs!$B$35,1)*$S9*$M9</f>
        <v>40</v>
      </c>
      <c r="Y9" s="26">
        <f>IF(MAX(Skills!$J$5:$J$46)&gt;0,CEILING($F9/MAX(Skills!$J$5:$J$46),1),"")</f>
        <v>1</v>
      </c>
      <c r="Z9" s="26">
        <f t="shared" si="3"/>
        <v>95.7</v>
      </c>
      <c r="AA9" s="26" t="s">
        <v>392</v>
      </c>
    </row>
    <row r="10" spans="1:27">
      <c r="A10" s="2" t="s">
        <v>393</v>
      </c>
      <c r="B10" s="3" t="s">
        <v>375</v>
      </c>
      <c r="C10" s="3" t="s">
        <v>390</v>
      </c>
      <c r="D10" s="3" t="s">
        <v>391</v>
      </c>
      <c r="E10" s="12" t="s">
        <v>377</v>
      </c>
      <c r="F10" s="12">
        <v>210</v>
      </c>
      <c r="G10" s="12">
        <v>7</v>
      </c>
      <c r="H10" s="12">
        <v>0</v>
      </c>
      <c r="I10" s="12">
        <v>3</v>
      </c>
      <c r="J10" s="12">
        <v>2</v>
      </c>
      <c r="K10" s="12">
        <v>0</v>
      </c>
      <c r="L10" s="6">
        <v>1.5</v>
      </c>
      <c r="M10" s="6">
        <v>2</v>
      </c>
      <c r="N10" s="6">
        <v>2</v>
      </c>
      <c r="O10" s="4" t="s">
        <v>237</v>
      </c>
      <c r="P10" s="4" t="s">
        <v>394</v>
      </c>
      <c r="Q10" s="4" t="s">
        <v>303</v>
      </c>
      <c r="R10" s="4" t="s">
        <v>395</v>
      </c>
      <c r="S10" s="27">
        <f>IF($D10="AttackHeavy",Inputs!$B$21/(Inputs!$B$21+Inputs!$B$22),IF($D10="DefenseHeavy",Inputs!$B$23/(Inputs!$B$23+Inputs!$B$24),Inputs!$B$19/(Inputs!$B$19+Inputs!$B$20)))</f>
        <v>0.8</v>
      </c>
      <c r="T10" s="4">
        <f t="shared" si="0"/>
        <v>0.19999999999999996</v>
      </c>
      <c r="U10" s="27">
        <f>IF($C10="Enhanced",Inputs!$B$18,1)</f>
        <v>1.5</v>
      </c>
      <c r="V10" s="27">
        <f t="shared" si="1"/>
        <v>11</v>
      </c>
      <c r="W10" s="27">
        <f t="shared" si="2"/>
        <v>5</v>
      </c>
      <c r="X10" s="25">
        <f>CEILING(($V10)*($G10/MAX(1,Inputs!$B$29))*Inputs!$B$35,1)*$S10*$M10</f>
        <v>57.6</v>
      </c>
      <c r="Y10" s="26">
        <f>IF(MAX(Skills!$J$5:$J$46)&gt;0,CEILING($F10/MAX(Skills!$J$5:$J$46),1),"")</f>
        <v>1</v>
      </c>
      <c r="Z10" s="26">
        <f t="shared" si="3"/>
        <v>133.69999999999999</v>
      </c>
      <c r="AA10" s="26" t="s">
        <v>396</v>
      </c>
    </row>
    <row r="11" spans="1:27">
      <c r="A11" s="2" t="s">
        <v>397</v>
      </c>
      <c r="B11" s="3" t="s">
        <v>375</v>
      </c>
      <c r="C11" s="3" t="s">
        <v>375</v>
      </c>
      <c r="D11" s="3" t="s">
        <v>391</v>
      </c>
      <c r="E11" s="12" t="s">
        <v>384</v>
      </c>
      <c r="F11" s="12">
        <v>170</v>
      </c>
      <c r="G11" s="12">
        <v>6</v>
      </c>
      <c r="H11" s="12">
        <v>0</v>
      </c>
      <c r="I11" s="12">
        <v>3</v>
      </c>
      <c r="J11" s="12">
        <v>2</v>
      </c>
      <c r="K11" s="12">
        <v>0</v>
      </c>
      <c r="L11" s="6">
        <v>1.5</v>
      </c>
      <c r="M11" s="6">
        <v>2</v>
      </c>
      <c r="N11" s="6">
        <v>3</v>
      </c>
      <c r="O11" s="4" t="s">
        <v>191</v>
      </c>
      <c r="P11" s="4" t="s">
        <v>331</v>
      </c>
      <c r="Q11" s="4" t="s">
        <v>395</v>
      </c>
      <c r="R11" s="4" t="s">
        <v>295</v>
      </c>
      <c r="S11" s="27">
        <f>IF($D11="AttackHeavy",Inputs!$B$21/(Inputs!$B$21+Inputs!$B$22),IF($D11="DefenseHeavy",Inputs!$B$23/(Inputs!$B$23+Inputs!$B$24),Inputs!$B$19/(Inputs!$B$19+Inputs!$B$20)))</f>
        <v>0.8</v>
      </c>
      <c r="T11" s="4">
        <f t="shared" si="0"/>
        <v>0.19999999999999996</v>
      </c>
      <c r="U11" s="27">
        <f>IF($C11="Enhanced",Inputs!$B$18,1)</f>
        <v>1</v>
      </c>
      <c r="V11" s="27">
        <f t="shared" si="1"/>
        <v>6</v>
      </c>
      <c r="W11" s="27">
        <f t="shared" si="2"/>
        <v>3</v>
      </c>
      <c r="X11" s="25">
        <f>CEILING(($V11)*($G11/MAX(1,Inputs!$B$29))*Inputs!$B$35,1)*$S11*$M11</f>
        <v>27.200000000000003</v>
      </c>
      <c r="Y11" s="26">
        <f>IF(MAX(Skills!$J$5:$J$46)&gt;0,CEILING($F11/MAX(Skills!$J$5:$J$46),1),"")</f>
        <v>1</v>
      </c>
      <c r="Z11" s="26">
        <f t="shared" si="3"/>
        <v>70.8</v>
      </c>
      <c r="AA11" s="26" t="s">
        <v>398</v>
      </c>
    </row>
    <row r="12" spans="1:27">
      <c r="A12" s="2" t="s">
        <v>399</v>
      </c>
      <c r="B12" s="3" t="s">
        <v>375</v>
      </c>
      <c r="C12" s="3" t="s">
        <v>390</v>
      </c>
      <c r="D12" s="3" t="s">
        <v>391</v>
      </c>
      <c r="E12" s="12" t="s">
        <v>384</v>
      </c>
      <c r="F12" s="12">
        <v>220</v>
      </c>
      <c r="G12" s="12">
        <v>7</v>
      </c>
      <c r="H12" s="12">
        <v>0</v>
      </c>
      <c r="I12" s="12">
        <v>3</v>
      </c>
      <c r="J12" s="12">
        <v>2</v>
      </c>
      <c r="K12" s="12">
        <v>0</v>
      </c>
      <c r="L12" s="6">
        <v>1.5</v>
      </c>
      <c r="M12" s="6">
        <v>2</v>
      </c>
      <c r="N12" s="6">
        <v>2</v>
      </c>
      <c r="O12" s="4" t="s">
        <v>187</v>
      </c>
      <c r="P12" s="4" t="s">
        <v>331</v>
      </c>
      <c r="Q12" s="4" t="s">
        <v>203</v>
      </c>
      <c r="R12" s="4" t="s">
        <v>295</v>
      </c>
      <c r="S12" s="27">
        <f>IF($D12="AttackHeavy",Inputs!$B$21/(Inputs!$B$21+Inputs!$B$22),IF($D12="DefenseHeavy",Inputs!$B$23/(Inputs!$B$23+Inputs!$B$24),Inputs!$B$19/(Inputs!$B$19+Inputs!$B$20)))</f>
        <v>0.8</v>
      </c>
      <c r="T12" s="4">
        <f t="shared" si="0"/>
        <v>0.19999999999999996</v>
      </c>
      <c r="U12" s="27">
        <f>IF($C12="Enhanced",Inputs!$B$18,1)</f>
        <v>1.5</v>
      </c>
      <c r="V12" s="27">
        <f t="shared" si="1"/>
        <v>11</v>
      </c>
      <c r="W12" s="27">
        <f t="shared" si="2"/>
        <v>5</v>
      </c>
      <c r="X12" s="25">
        <f>CEILING(($V12)*($G12/MAX(1,Inputs!$B$29))*Inputs!$B$35,1)*$S12*$M12</f>
        <v>57.6</v>
      </c>
      <c r="Y12" s="26">
        <f>IF(MAX(Skills!$J$5:$J$46)&gt;0,CEILING($F12/MAX(Skills!$J$5:$J$46),1),"")</f>
        <v>1</v>
      </c>
      <c r="Z12" s="26">
        <f t="shared" si="3"/>
        <v>134</v>
      </c>
      <c r="AA12" s="26" t="s">
        <v>400</v>
      </c>
    </row>
    <row r="13" spans="1:27">
      <c r="A13" s="2" t="s">
        <v>401</v>
      </c>
      <c r="B13" s="3" t="s">
        <v>375</v>
      </c>
      <c r="C13" s="3" t="s">
        <v>375</v>
      </c>
      <c r="D13" s="3" t="s">
        <v>402</v>
      </c>
      <c r="E13" s="12" t="s">
        <v>377</v>
      </c>
      <c r="F13" s="12">
        <v>180</v>
      </c>
      <c r="G13" s="12">
        <v>5</v>
      </c>
      <c r="H13" s="12">
        <v>0</v>
      </c>
      <c r="I13" s="12">
        <v>5</v>
      </c>
      <c r="J13" s="12">
        <v>1</v>
      </c>
      <c r="K13" s="12">
        <v>0</v>
      </c>
      <c r="L13" s="6">
        <v>1.5</v>
      </c>
      <c r="M13" s="6">
        <v>2</v>
      </c>
      <c r="N13" s="6">
        <v>3</v>
      </c>
      <c r="O13" s="4" t="s">
        <v>295</v>
      </c>
      <c r="P13" s="4" t="s">
        <v>323</v>
      </c>
      <c r="Q13" s="4" t="s">
        <v>195</v>
      </c>
      <c r="R13" s="4" t="s">
        <v>258</v>
      </c>
      <c r="S13" s="27">
        <f>IF($D13="AttackHeavy",Inputs!$B$21/(Inputs!$B$21+Inputs!$B$22),IF($D13="DefenseHeavy",Inputs!$B$23/(Inputs!$B$23+Inputs!$B$24),Inputs!$B$19/(Inputs!$B$19+Inputs!$B$20)))</f>
        <v>0.2</v>
      </c>
      <c r="T13" s="4">
        <f t="shared" si="0"/>
        <v>0.8</v>
      </c>
      <c r="U13" s="27">
        <f>IF($C13="Enhanced",Inputs!$B$18,1)</f>
        <v>1</v>
      </c>
      <c r="V13" s="27">
        <f t="shared" si="1"/>
        <v>5</v>
      </c>
      <c r="W13" s="27">
        <f t="shared" si="2"/>
        <v>5</v>
      </c>
      <c r="X13" s="25">
        <f>CEILING(($V13)*($G13/MAX(1,Inputs!$B$29))*Inputs!$B$35,1)*$S13*$M13</f>
        <v>4.8000000000000007</v>
      </c>
      <c r="Y13" s="26">
        <f>IF(MAX(Skills!$J$5:$J$46)&gt;0,CEILING($F13/MAX(Skills!$J$5:$J$46),1),"")</f>
        <v>1</v>
      </c>
      <c r="Z13" s="26">
        <f t="shared" si="3"/>
        <v>27.1</v>
      </c>
      <c r="AA13" s="26" t="s">
        <v>403</v>
      </c>
    </row>
    <row r="14" spans="1:27">
      <c r="A14" s="2" t="s">
        <v>404</v>
      </c>
      <c r="B14" s="3" t="s">
        <v>389</v>
      </c>
      <c r="C14" s="3" t="s">
        <v>390</v>
      </c>
      <c r="D14" s="3" t="s">
        <v>402</v>
      </c>
      <c r="E14" s="12" t="s">
        <v>377</v>
      </c>
      <c r="F14" s="12">
        <v>240</v>
      </c>
      <c r="G14" s="12">
        <v>5</v>
      </c>
      <c r="H14" s="12">
        <v>0</v>
      </c>
      <c r="I14" s="12">
        <v>6</v>
      </c>
      <c r="J14" s="12">
        <v>2</v>
      </c>
      <c r="K14" s="12">
        <v>0</v>
      </c>
      <c r="L14" s="6">
        <v>1.5</v>
      </c>
      <c r="M14" s="6">
        <v>3</v>
      </c>
      <c r="N14" s="6">
        <v>3</v>
      </c>
      <c r="O14" s="4" t="s">
        <v>307</v>
      </c>
      <c r="P14" s="4" t="s">
        <v>223</v>
      </c>
      <c r="Q14" s="4" t="s">
        <v>395</v>
      </c>
      <c r="R14" s="4" t="s">
        <v>381</v>
      </c>
      <c r="S14" s="27">
        <f>IF($D14="AttackHeavy",Inputs!$B$21/(Inputs!$B$21+Inputs!$B$22),IF($D14="DefenseHeavy",Inputs!$B$23/(Inputs!$B$23+Inputs!$B$24),Inputs!$B$19/(Inputs!$B$19+Inputs!$B$20)))</f>
        <v>0.2</v>
      </c>
      <c r="T14" s="4">
        <f t="shared" si="0"/>
        <v>0.8</v>
      </c>
      <c r="U14" s="27">
        <f>IF($C14="Enhanced",Inputs!$B$18,1)</f>
        <v>1.5</v>
      </c>
      <c r="V14" s="27">
        <f t="shared" si="1"/>
        <v>8</v>
      </c>
      <c r="W14" s="27">
        <f t="shared" si="2"/>
        <v>9</v>
      </c>
      <c r="X14" s="25">
        <f>CEILING(($V14)*($G14/MAX(1,Inputs!$B$29))*Inputs!$B$35,1)*$S14*$M14</f>
        <v>11.4</v>
      </c>
      <c r="Y14" s="26">
        <f>IF(MAX(Skills!$J$5:$J$46)&gt;0,CEILING($F14/MAX(Skills!$J$5:$J$46),1),"")</f>
        <v>1</v>
      </c>
      <c r="Z14" s="26">
        <f t="shared" si="3"/>
        <v>47.9</v>
      </c>
      <c r="AA14" s="26" t="s">
        <v>405</v>
      </c>
    </row>
    <row r="15" spans="1:27">
      <c r="A15" s="2" t="s">
        <v>406</v>
      </c>
      <c r="B15" s="3" t="s">
        <v>407</v>
      </c>
      <c r="C15" s="3" t="s">
        <v>390</v>
      </c>
      <c r="D15" s="3" t="s">
        <v>402</v>
      </c>
      <c r="E15" s="12" t="s">
        <v>384</v>
      </c>
      <c r="F15" s="12">
        <v>200</v>
      </c>
      <c r="G15" s="12">
        <v>4</v>
      </c>
      <c r="H15" s="12">
        <v>0</v>
      </c>
      <c r="I15" s="12">
        <v>6</v>
      </c>
      <c r="J15" s="12">
        <v>1</v>
      </c>
      <c r="K15" s="12">
        <v>0</v>
      </c>
      <c r="L15" s="6">
        <v>1.5</v>
      </c>
      <c r="M15" s="6">
        <v>3</v>
      </c>
      <c r="N15" s="6">
        <v>4</v>
      </c>
      <c r="O15" s="4" t="s">
        <v>346</v>
      </c>
      <c r="P15" s="4" t="s">
        <v>331</v>
      </c>
      <c r="Q15" s="4" t="s">
        <v>323</v>
      </c>
      <c r="R15" s="4" t="s">
        <v>277</v>
      </c>
      <c r="S15" s="27">
        <f>IF($D15="AttackHeavy",Inputs!$B$21/(Inputs!$B$21+Inputs!$B$22),IF($D15="DefenseHeavy",Inputs!$B$23/(Inputs!$B$23+Inputs!$B$24),Inputs!$B$19/(Inputs!$B$19+Inputs!$B$20)))</f>
        <v>0.2</v>
      </c>
      <c r="T15" s="4">
        <f t="shared" si="0"/>
        <v>0.8</v>
      </c>
      <c r="U15" s="27">
        <f>IF($C15="Enhanced",Inputs!$B$18,1)</f>
        <v>1.5</v>
      </c>
      <c r="V15" s="27">
        <f t="shared" si="1"/>
        <v>6</v>
      </c>
      <c r="W15" s="27">
        <f t="shared" si="2"/>
        <v>9</v>
      </c>
      <c r="X15" s="25">
        <f>CEILING(($V15)*($G15/MAX(1,Inputs!$B$29))*Inputs!$B$35,1)*$S15*$M15</f>
        <v>7.2000000000000011</v>
      </c>
      <c r="Y15" s="26">
        <f>IF(MAX(Skills!$J$5:$J$46)&gt;0,CEILING($F15/MAX(Skills!$J$5:$J$46),1),"")</f>
        <v>1</v>
      </c>
      <c r="Z15" s="26">
        <f t="shared" si="3"/>
        <v>38.200000000000003</v>
      </c>
      <c r="AA15" s="26" t="s">
        <v>408</v>
      </c>
    </row>
    <row r="16" spans="1:27">
      <c r="A16" s="2" t="s">
        <v>409</v>
      </c>
      <c r="B16" s="3" t="s">
        <v>410</v>
      </c>
      <c r="C16" s="3" t="s">
        <v>390</v>
      </c>
      <c r="D16" s="3" t="s">
        <v>402</v>
      </c>
      <c r="E16" s="12" t="s">
        <v>384</v>
      </c>
      <c r="F16" s="12">
        <v>230</v>
      </c>
      <c r="G16" s="12">
        <v>5</v>
      </c>
      <c r="H16" s="12">
        <v>0</v>
      </c>
      <c r="I16" s="12">
        <v>6</v>
      </c>
      <c r="J16" s="12">
        <v>2</v>
      </c>
      <c r="K16" s="12">
        <v>0</v>
      </c>
      <c r="L16" s="6">
        <v>1.5</v>
      </c>
      <c r="M16" s="6">
        <v>3</v>
      </c>
      <c r="N16" s="6">
        <v>3</v>
      </c>
      <c r="O16" s="4" t="s">
        <v>346</v>
      </c>
      <c r="P16" s="4" t="s">
        <v>335</v>
      </c>
      <c r="Q16" s="4" t="s">
        <v>323</v>
      </c>
      <c r="R16" s="4" t="s">
        <v>203</v>
      </c>
      <c r="S16" s="27">
        <f>IF($D16="AttackHeavy",Inputs!$B$21/(Inputs!$B$21+Inputs!$B$22),IF($D16="DefenseHeavy",Inputs!$B$23/(Inputs!$B$23+Inputs!$B$24),Inputs!$B$19/(Inputs!$B$19+Inputs!$B$20)))</f>
        <v>0.2</v>
      </c>
      <c r="T16" s="4">
        <f t="shared" si="0"/>
        <v>0.8</v>
      </c>
      <c r="U16" s="27">
        <f>IF($C16="Enhanced",Inputs!$B$18,1)</f>
        <v>1.5</v>
      </c>
      <c r="V16" s="27">
        <f t="shared" si="1"/>
        <v>8</v>
      </c>
      <c r="W16" s="27">
        <f t="shared" si="2"/>
        <v>9</v>
      </c>
      <c r="X16" s="25">
        <f>CEILING(($V16)*($G16/MAX(1,Inputs!$B$29))*Inputs!$B$35,1)*$S16*$M16</f>
        <v>11.4</v>
      </c>
      <c r="Y16" s="26">
        <f>IF(MAX(Skills!$J$5:$J$46)&gt;0,CEILING($F16/MAX(Skills!$J$5:$J$46),1),"")</f>
        <v>1</v>
      </c>
      <c r="Z16" s="26">
        <f t="shared" si="3"/>
        <v>47.6</v>
      </c>
      <c r="AA16" s="26" t="s">
        <v>411</v>
      </c>
    </row>
  </sheetData>
  <phoneticPr fontId="9" type="noConversion"/>
  <conditionalFormatting sqref="W5:W16">
    <cfRule type="colorScale" priority="1">
      <colorScale>
        <cfvo type="min"/>
        <cfvo type="percentile" val="50"/>
        <cfvo type="max"/>
        <color rgb="FFDFF4E7"/>
        <color rgb="FFFFF3BF"/>
        <color rgb="FFF4B6B6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400-000000000000}">
          <x14:formula1>
            <xm:f>Lists!$D$2:$D$5</xm:f>
          </x14:formula1>
          <xm:sqref>B5:B16</xm:sqref>
        </x14:dataValidation>
        <x14:dataValidation type="list" allowBlank="1" xr:uid="{00000000-0002-0000-0400-000001000000}">
          <x14:formula1>
            <xm:f>Lists!$E$2:$E$3</xm:f>
          </x14:formula1>
          <xm:sqref>C5:C16</xm:sqref>
        </x14:dataValidation>
        <x14:dataValidation type="list" allowBlank="1" xr:uid="{00000000-0002-0000-0400-000002000000}">
          <x14:formula1>
            <xm:f>Lists!$B$2:$B$4</xm:f>
          </x14:formula1>
          <xm:sqref>D5:D16</xm:sqref>
        </x14:dataValidation>
        <x14:dataValidation type="list" allowBlank="1" xr:uid="{00000000-0002-0000-0400-000003000000}">
          <x14:formula1>
            <xm:f>Lists!$C$2:$C$3</xm:f>
          </x14:formula1>
          <xm:sqref>E5:E16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24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8.125" customWidth="1"/>
    <col min="2" max="2" width="20" customWidth="1"/>
    <col min="3" max="4" width="12.125" customWidth="1"/>
    <col min="5" max="5" width="10.125" customWidth="1"/>
    <col min="6" max="7" width="18" customWidth="1"/>
    <col min="8" max="8" width="10.125" customWidth="1"/>
    <col min="9" max="9" width="12.125" customWidth="1"/>
    <col min="10" max="10" width="11.5" customWidth="1"/>
    <col min="11" max="13" width="15.5" customWidth="1"/>
    <col min="14" max="14" width="10.125" customWidth="1"/>
    <col min="15" max="15" width="10.75" customWidth="1"/>
    <col min="16" max="16" width="11.5" customWidth="1"/>
    <col min="17" max="17" width="18" customWidth="1"/>
  </cols>
  <sheetData>
    <row r="1" spans="1:17" ht="25.5" customHeight="1">
      <c r="A1" s="18" t="s">
        <v>412</v>
      </c>
    </row>
    <row r="2" spans="1:17" ht="19.5" customHeight="1">
      <c r="A2" s="19" t="s">
        <v>413</v>
      </c>
      <c r="I2" s="8"/>
      <c r="J2" s="8"/>
      <c r="K2" s="8"/>
      <c r="L2" s="8"/>
      <c r="M2" s="8"/>
      <c r="N2" s="8"/>
      <c r="O2" s="8"/>
      <c r="P2" s="8"/>
      <c r="Q2" s="8"/>
    </row>
    <row r="3" spans="1:17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</row>
    <row r="4" spans="1:17" ht="30">
      <c r="A4" s="20" t="s">
        <v>414</v>
      </c>
      <c r="B4" s="20" t="s">
        <v>8</v>
      </c>
      <c r="C4" s="20" t="s">
        <v>20</v>
      </c>
      <c r="D4" s="20" t="s">
        <v>415</v>
      </c>
      <c r="E4" s="20" t="s">
        <v>416</v>
      </c>
      <c r="F4" s="20" t="s">
        <v>417</v>
      </c>
      <c r="G4" s="20" t="s">
        <v>418</v>
      </c>
      <c r="H4" s="20" t="s">
        <v>419</v>
      </c>
      <c r="I4" s="20" t="s">
        <v>420</v>
      </c>
      <c r="J4" s="20" t="s">
        <v>23</v>
      </c>
      <c r="K4" s="20" t="s">
        <v>421</v>
      </c>
      <c r="L4" s="20" t="s">
        <v>422</v>
      </c>
      <c r="M4" s="20" t="s">
        <v>423</v>
      </c>
      <c r="N4" s="20" t="s">
        <v>17</v>
      </c>
      <c r="O4" s="20" t="s">
        <v>14</v>
      </c>
      <c r="P4" s="20" t="s">
        <v>11</v>
      </c>
      <c r="Q4" s="20" t="s">
        <v>373</v>
      </c>
    </row>
    <row r="5" spans="1:17">
      <c r="A5" s="5">
        <v>1</v>
      </c>
      <c r="B5" s="12" t="s">
        <v>374</v>
      </c>
      <c r="C5" s="12">
        <v>6</v>
      </c>
      <c r="D5" s="12">
        <v>0</v>
      </c>
      <c r="E5" s="12">
        <v>0</v>
      </c>
      <c r="F5" s="3" t="s">
        <v>212</v>
      </c>
      <c r="G5" s="3" t="s">
        <v>295</v>
      </c>
      <c r="H5" s="4">
        <f>IFERROR(INDEX(Enemies!$F$5:$F$16,MATCH($B5,Enemies!$A$5:$A$16,0)),"")</f>
        <v>150</v>
      </c>
      <c r="I5" s="4">
        <f>IFERROR(INDEX(Skills!$J$5:$J$46,MATCH($F5,Skills!$B$5:$B$46,0)),0)</f>
        <v>1800</v>
      </c>
      <c r="J5" s="4">
        <f t="shared" ref="J5:J24" si="0">IF(OR($H5="",$I5&lt;=0),"",CEILING($H5/$I5,1))</f>
        <v>1</v>
      </c>
      <c r="K5" s="4">
        <f>IFERROR(INDEX(Enemies!$X$5:$X$16,MATCH($B5,Enemies!$A$5:$A$16,0)),0)</f>
        <v>6</v>
      </c>
      <c r="L5" s="4">
        <f>IFERROR(INDEX(Skills!$K$5:$K$46,MATCH($G5,Skills!$B$5:$B$46,0)),0)</f>
        <v>30</v>
      </c>
      <c r="M5" s="4">
        <f t="shared" ref="M5:M24" si="1">MAX(0,$C5*$K5-$C5*$L5)</f>
        <v>0</v>
      </c>
      <c r="N5" s="6">
        <f>IF(Inputs!$B$4&gt;0,$M5/Inputs!$B$4,0)</f>
        <v>0</v>
      </c>
      <c r="O5" s="5">
        <f>MAX(Inputs!$B$16,IFERROR(INDEX(Enemies!$Z$5:$Z$16,MATCH($B5,Enemies!$A$5:$A$16,0)),0)*Inputs!$B$12+$D5*Inputs!$B$13+$E5*Inputs!$B$14-$C5*Inputs!$B$15)</f>
        <v>2310</v>
      </c>
      <c r="P5" s="2" t="str">
        <f t="shared" ref="P5:P24" si="2">IF($J5="","스킬 확인",IF($C5&lt;$J5,"공격 부족",IF($N5&gt;=1,"위험",IF($N5&gt;=0.6,"주의","OK"))))</f>
        <v>OK</v>
      </c>
      <c r="Q5" s="2" t="s">
        <v>375</v>
      </c>
    </row>
    <row r="6" spans="1:17">
      <c r="A6" s="5">
        <v>2</v>
      </c>
      <c r="B6" s="12" t="s">
        <v>380</v>
      </c>
      <c r="C6" s="12">
        <v>6</v>
      </c>
      <c r="D6" s="12">
        <v>0</v>
      </c>
      <c r="E6" s="12">
        <v>0</v>
      </c>
      <c r="F6" s="3" t="s">
        <v>212</v>
      </c>
      <c r="G6" s="3" t="s">
        <v>295</v>
      </c>
      <c r="H6" s="4">
        <f>IFERROR(INDEX(Enemies!$F$5:$F$16,MATCH($B6,Enemies!$A$5:$A$16,0)),"")</f>
        <v>190</v>
      </c>
      <c r="I6" s="4">
        <f>IFERROR(INDEX(Skills!$J$5:$J$46,MATCH($F6,Skills!$B$5:$B$46,0)),0)</f>
        <v>1800</v>
      </c>
      <c r="J6" s="4">
        <f t="shared" si="0"/>
        <v>1</v>
      </c>
      <c r="K6" s="4">
        <f>IFERROR(INDEX(Enemies!$X$5:$X$16,MATCH($B6,Enemies!$A$5:$A$16,0)),0)</f>
        <v>6</v>
      </c>
      <c r="L6" s="4">
        <f>IFERROR(INDEX(Skills!$K$5:$K$46,MATCH($G6,Skills!$B$5:$B$46,0)),0)</f>
        <v>30</v>
      </c>
      <c r="M6" s="4">
        <f t="shared" si="1"/>
        <v>0</v>
      </c>
      <c r="N6" s="6">
        <f>IF(Inputs!$B$4&gt;0,$M6/Inputs!$B$4,0)</f>
        <v>0</v>
      </c>
      <c r="O6" s="5">
        <f>MAX(Inputs!$B$16,IFERROR(INDEX(Enemies!$Z$5:$Z$16,MATCH($B6,Enemies!$A$5:$A$16,0)),0)*Inputs!$B$12+$D6*Inputs!$B$13+$E6*Inputs!$B$14-$C6*Inputs!$B$15)</f>
        <v>2520</v>
      </c>
      <c r="P6" s="2" t="str">
        <f t="shared" si="2"/>
        <v>OK</v>
      </c>
      <c r="Q6" s="2" t="s">
        <v>375</v>
      </c>
    </row>
    <row r="7" spans="1:17">
      <c r="A7" s="5">
        <v>3</v>
      </c>
      <c r="B7" s="12" t="s">
        <v>383</v>
      </c>
      <c r="C7" s="12">
        <v>6</v>
      </c>
      <c r="D7" s="12">
        <v>0</v>
      </c>
      <c r="E7" s="12">
        <v>0</v>
      </c>
      <c r="F7" s="3" t="s">
        <v>212</v>
      </c>
      <c r="G7" s="3" t="s">
        <v>295</v>
      </c>
      <c r="H7" s="4">
        <f>IFERROR(INDEX(Enemies!$F$5:$F$16,MATCH($B7,Enemies!$A$5:$A$16,0)),"")</f>
        <v>140</v>
      </c>
      <c r="I7" s="4">
        <f>IFERROR(INDEX(Skills!$J$5:$J$46,MATCH($F7,Skills!$B$5:$B$46,0)),0)</f>
        <v>1800</v>
      </c>
      <c r="J7" s="4">
        <f t="shared" si="0"/>
        <v>1</v>
      </c>
      <c r="K7" s="4">
        <f>IFERROR(INDEX(Enemies!$X$5:$X$16,MATCH($B7,Enemies!$A$5:$A$16,0)),0)</f>
        <v>4</v>
      </c>
      <c r="L7" s="4">
        <f>IFERROR(INDEX(Skills!$K$5:$K$46,MATCH($G7,Skills!$B$5:$B$46,0)),0)</f>
        <v>30</v>
      </c>
      <c r="M7" s="4">
        <f t="shared" si="1"/>
        <v>0</v>
      </c>
      <c r="N7" s="6">
        <f>IF(Inputs!$B$4&gt;0,$M7/Inputs!$B$4,0)</f>
        <v>0</v>
      </c>
      <c r="O7" s="5">
        <f>MAX(Inputs!$B$16,IFERROR(INDEX(Enemies!$Z$5:$Z$16,MATCH($B7,Enemies!$A$5:$A$16,0)),0)*Inputs!$B$12+$D7*Inputs!$B$13+$E7*Inputs!$B$14-$C7*Inputs!$B$15)</f>
        <v>1920</v>
      </c>
      <c r="P7" s="2" t="str">
        <f t="shared" si="2"/>
        <v>OK</v>
      </c>
      <c r="Q7" s="2" t="s">
        <v>375</v>
      </c>
    </row>
    <row r="8" spans="1:17">
      <c r="A8" s="5">
        <v>4</v>
      </c>
      <c r="B8" s="12" t="s">
        <v>386</v>
      </c>
      <c r="C8" s="12">
        <v>6</v>
      </c>
      <c r="D8" s="12">
        <v>0</v>
      </c>
      <c r="E8" s="12">
        <v>0</v>
      </c>
      <c r="F8" s="3" t="s">
        <v>212</v>
      </c>
      <c r="G8" s="3" t="s">
        <v>295</v>
      </c>
      <c r="H8" s="4">
        <f>IFERROR(INDEX(Enemies!$F$5:$F$16,MATCH($B8,Enemies!$A$5:$A$16,0)),"")</f>
        <v>180</v>
      </c>
      <c r="I8" s="4">
        <f>IFERROR(INDEX(Skills!$J$5:$J$46,MATCH($F8,Skills!$B$5:$B$46,0)),0)</f>
        <v>1800</v>
      </c>
      <c r="J8" s="4">
        <f t="shared" si="0"/>
        <v>1</v>
      </c>
      <c r="K8" s="4">
        <f>IFERROR(INDEX(Enemies!$X$5:$X$16,MATCH($B8,Enemies!$A$5:$A$16,0)),0)</f>
        <v>6</v>
      </c>
      <c r="L8" s="4">
        <f>IFERROR(INDEX(Skills!$K$5:$K$46,MATCH($G8,Skills!$B$5:$B$46,0)),0)</f>
        <v>30</v>
      </c>
      <c r="M8" s="4">
        <f t="shared" si="1"/>
        <v>0</v>
      </c>
      <c r="N8" s="6">
        <f>IF(Inputs!$B$4&gt;0,$M8/Inputs!$B$4,0)</f>
        <v>0</v>
      </c>
      <c r="O8" s="5">
        <f>MAX(Inputs!$B$16,IFERROR(INDEX(Enemies!$Z$5:$Z$16,MATCH($B8,Enemies!$A$5:$A$16,0)),0)*Inputs!$B$12+$D8*Inputs!$B$13+$E8*Inputs!$B$14-$C8*Inputs!$B$15)</f>
        <v>2450</v>
      </c>
      <c r="P8" s="2" t="str">
        <f t="shared" si="2"/>
        <v>OK</v>
      </c>
      <c r="Q8" s="2" t="s">
        <v>375</v>
      </c>
    </row>
    <row r="9" spans="1:17">
      <c r="A9" s="5">
        <v>5</v>
      </c>
      <c r="B9" s="12" t="s">
        <v>388</v>
      </c>
      <c r="C9" s="12">
        <v>8</v>
      </c>
      <c r="D9" s="12">
        <v>0</v>
      </c>
      <c r="E9" s="12">
        <v>0</v>
      </c>
      <c r="F9" s="3" t="s">
        <v>212</v>
      </c>
      <c r="G9" s="3" t="s">
        <v>295</v>
      </c>
      <c r="H9" s="4">
        <f>IFERROR(INDEX(Enemies!$F$5:$F$16,MATCH($B9,Enemies!$A$5:$A$16,0)),"")</f>
        <v>150</v>
      </c>
      <c r="I9" s="4">
        <f>IFERROR(INDEX(Skills!$J$5:$J$46,MATCH($F9,Skills!$B$5:$B$46,0)),0)</f>
        <v>1800</v>
      </c>
      <c r="J9" s="4">
        <f t="shared" si="0"/>
        <v>1</v>
      </c>
      <c r="K9" s="4">
        <f>IFERROR(INDEX(Enemies!$X$5:$X$16,MATCH($B9,Enemies!$A$5:$A$16,0)),0)</f>
        <v>40</v>
      </c>
      <c r="L9" s="4">
        <f>IFERROR(INDEX(Skills!$K$5:$K$46,MATCH($G9,Skills!$B$5:$B$46,0)),0)</f>
        <v>30</v>
      </c>
      <c r="M9" s="4">
        <f t="shared" si="1"/>
        <v>80</v>
      </c>
      <c r="N9" s="6">
        <f>IF(Inputs!$B$4&gt;0,$M9/Inputs!$B$4,0)</f>
        <v>0.33333333333333331</v>
      </c>
      <c r="O9" s="5">
        <f>MAX(Inputs!$B$16,IFERROR(INDEX(Enemies!$Z$5:$Z$16,MATCH($B9,Enemies!$A$5:$A$16,0)),0)*Inputs!$B$12+$D9*Inputs!$B$13+$E9*Inputs!$B$14-$C9*Inputs!$B$15)</f>
        <v>9490</v>
      </c>
      <c r="P9" s="2" t="str">
        <f t="shared" si="2"/>
        <v>OK</v>
      </c>
      <c r="Q9" s="2" t="s">
        <v>389</v>
      </c>
    </row>
    <row r="10" spans="1:17">
      <c r="A10" s="5">
        <v>6</v>
      </c>
      <c r="B10" s="12" t="s">
        <v>393</v>
      </c>
      <c r="C10" s="12">
        <v>8</v>
      </c>
      <c r="D10" s="12">
        <v>0</v>
      </c>
      <c r="E10" s="12">
        <v>0</v>
      </c>
      <c r="F10" s="3" t="s">
        <v>212</v>
      </c>
      <c r="G10" s="3" t="s">
        <v>295</v>
      </c>
      <c r="H10" s="4">
        <f>IFERROR(INDEX(Enemies!$F$5:$F$16,MATCH($B10,Enemies!$A$5:$A$16,0)),"")</f>
        <v>210</v>
      </c>
      <c r="I10" s="4">
        <f>IFERROR(INDEX(Skills!$J$5:$J$46,MATCH($F10,Skills!$B$5:$B$46,0)),0)</f>
        <v>1800</v>
      </c>
      <c r="J10" s="4">
        <f t="shared" si="0"/>
        <v>1</v>
      </c>
      <c r="K10" s="4">
        <f>IFERROR(INDEX(Enemies!$X$5:$X$16,MATCH($B10,Enemies!$A$5:$A$16,0)),0)</f>
        <v>57.6</v>
      </c>
      <c r="L10" s="4">
        <f>IFERROR(INDEX(Skills!$K$5:$K$46,MATCH($G10,Skills!$B$5:$B$46,0)),0)</f>
        <v>30</v>
      </c>
      <c r="M10" s="4">
        <f t="shared" si="1"/>
        <v>220.8</v>
      </c>
      <c r="N10" s="6">
        <f>IF(Inputs!$B$4&gt;0,$M10/Inputs!$B$4,0)</f>
        <v>0.92</v>
      </c>
      <c r="O10" s="5">
        <f>MAX(Inputs!$B$16,IFERROR(INDEX(Enemies!$Z$5:$Z$16,MATCH($B10,Enemies!$A$5:$A$16,0)),0)*Inputs!$B$12+$D10*Inputs!$B$13+$E10*Inputs!$B$14-$C10*Inputs!$B$15)</f>
        <v>13289.999999999998</v>
      </c>
      <c r="P10" s="2" t="str">
        <f t="shared" si="2"/>
        <v>주의</v>
      </c>
      <c r="Q10" s="2" t="s">
        <v>375</v>
      </c>
    </row>
    <row r="11" spans="1:17">
      <c r="A11" s="5">
        <v>7</v>
      </c>
      <c r="B11" s="12" t="s">
        <v>397</v>
      </c>
      <c r="C11" s="12">
        <v>8</v>
      </c>
      <c r="D11" s="12">
        <v>0</v>
      </c>
      <c r="E11" s="12">
        <v>0</v>
      </c>
      <c r="F11" s="3" t="s">
        <v>212</v>
      </c>
      <c r="G11" s="3" t="s">
        <v>295</v>
      </c>
      <c r="H11" s="4">
        <f>IFERROR(INDEX(Enemies!$F$5:$F$16,MATCH($B11,Enemies!$A$5:$A$16,0)),"")</f>
        <v>170</v>
      </c>
      <c r="I11" s="4">
        <f>IFERROR(INDEX(Skills!$J$5:$J$46,MATCH($F11,Skills!$B$5:$B$46,0)),0)</f>
        <v>1800</v>
      </c>
      <c r="J11" s="4">
        <f t="shared" si="0"/>
        <v>1</v>
      </c>
      <c r="K11" s="4">
        <f>IFERROR(INDEX(Enemies!$X$5:$X$16,MATCH($B11,Enemies!$A$5:$A$16,0)),0)</f>
        <v>27.200000000000003</v>
      </c>
      <c r="L11" s="4">
        <f>IFERROR(INDEX(Skills!$K$5:$K$46,MATCH($G11,Skills!$B$5:$B$46,0)),0)</f>
        <v>30</v>
      </c>
      <c r="M11" s="4">
        <f t="shared" si="1"/>
        <v>0</v>
      </c>
      <c r="N11" s="6">
        <f>IF(Inputs!$B$4&gt;0,$M11/Inputs!$B$4,0)</f>
        <v>0</v>
      </c>
      <c r="O11" s="5">
        <f>MAX(Inputs!$B$16,IFERROR(INDEX(Enemies!$Z$5:$Z$16,MATCH($B11,Enemies!$A$5:$A$16,0)),0)*Inputs!$B$12+$D11*Inputs!$B$13+$E11*Inputs!$B$14-$C11*Inputs!$B$15)</f>
        <v>7000</v>
      </c>
      <c r="P11" s="2" t="str">
        <f t="shared" si="2"/>
        <v>OK</v>
      </c>
      <c r="Q11" s="2" t="s">
        <v>375</v>
      </c>
    </row>
    <row r="12" spans="1:17">
      <c r="A12" s="5">
        <v>8</v>
      </c>
      <c r="B12" s="12" t="s">
        <v>399</v>
      </c>
      <c r="C12" s="12">
        <v>8</v>
      </c>
      <c r="D12" s="12">
        <v>0</v>
      </c>
      <c r="E12" s="12">
        <v>0</v>
      </c>
      <c r="F12" s="3" t="s">
        <v>212</v>
      </c>
      <c r="G12" s="3" t="s">
        <v>295</v>
      </c>
      <c r="H12" s="4">
        <f>IFERROR(INDEX(Enemies!$F$5:$F$16,MATCH($B12,Enemies!$A$5:$A$16,0)),"")</f>
        <v>220</v>
      </c>
      <c r="I12" s="4">
        <f>IFERROR(INDEX(Skills!$J$5:$J$46,MATCH($F12,Skills!$B$5:$B$46,0)),0)</f>
        <v>1800</v>
      </c>
      <c r="J12" s="4">
        <f t="shared" si="0"/>
        <v>1</v>
      </c>
      <c r="K12" s="4">
        <f>IFERROR(INDEX(Enemies!$X$5:$X$16,MATCH($B12,Enemies!$A$5:$A$16,0)),0)</f>
        <v>57.6</v>
      </c>
      <c r="L12" s="4">
        <f>IFERROR(INDEX(Skills!$K$5:$K$46,MATCH($G12,Skills!$B$5:$B$46,0)),0)</f>
        <v>30</v>
      </c>
      <c r="M12" s="4">
        <f t="shared" si="1"/>
        <v>220.8</v>
      </c>
      <c r="N12" s="6">
        <f>IF(Inputs!$B$4&gt;0,$M12/Inputs!$B$4,0)</f>
        <v>0.92</v>
      </c>
      <c r="O12" s="5">
        <f>MAX(Inputs!$B$16,IFERROR(INDEX(Enemies!$Z$5:$Z$16,MATCH($B12,Enemies!$A$5:$A$16,0)),0)*Inputs!$B$12+$D12*Inputs!$B$13+$E12*Inputs!$B$14-$C12*Inputs!$B$15)</f>
        <v>13320</v>
      </c>
      <c r="P12" s="2" t="str">
        <f t="shared" si="2"/>
        <v>주의</v>
      </c>
      <c r="Q12" s="2" t="s">
        <v>375</v>
      </c>
    </row>
    <row r="13" spans="1:17">
      <c r="A13" s="5">
        <v>9</v>
      </c>
      <c r="B13" s="12" t="s">
        <v>401</v>
      </c>
      <c r="C13" s="12">
        <v>8</v>
      </c>
      <c r="D13" s="12">
        <v>0</v>
      </c>
      <c r="E13" s="12">
        <v>0</v>
      </c>
      <c r="F13" s="3" t="s">
        <v>212</v>
      </c>
      <c r="G13" s="3" t="s">
        <v>295</v>
      </c>
      <c r="H13" s="4">
        <f>IFERROR(INDEX(Enemies!$F$5:$F$16,MATCH($B13,Enemies!$A$5:$A$16,0)),"")</f>
        <v>180</v>
      </c>
      <c r="I13" s="4">
        <f>IFERROR(INDEX(Skills!$J$5:$J$46,MATCH($F13,Skills!$B$5:$B$46,0)),0)</f>
        <v>1800</v>
      </c>
      <c r="J13" s="4">
        <f t="shared" si="0"/>
        <v>1</v>
      </c>
      <c r="K13" s="4">
        <f>IFERROR(INDEX(Enemies!$X$5:$X$16,MATCH($B13,Enemies!$A$5:$A$16,0)),0)</f>
        <v>4.8000000000000007</v>
      </c>
      <c r="L13" s="4">
        <f>IFERROR(INDEX(Skills!$K$5:$K$46,MATCH($G13,Skills!$B$5:$B$46,0)),0)</f>
        <v>30</v>
      </c>
      <c r="M13" s="4">
        <f t="shared" si="1"/>
        <v>0</v>
      </c>
      <c r="N13" s="6">
        <f>IF(Inputs!$B$4&gt;0,$M13/Inputs!$B$4,0)</f>
        <v>0</v>
      </c>
      <c r="O13" s="5">
        <f>MAX(Inputs!$B$16,IFERROR(INDEX(Enemies!$Z$5:$Z$16,MATCH($B13,Enemies!$A$5:$A$16,0)),0)*Inputs!$B$12+$D13*Inputs!$B$13+$E13*Inputs!$B$14-$C13*Inputs!$B$15)</f>
        <v>2630</v>
      </c>
      <c r="P13" s="2" t="str">
        <f t="shared" si="2"/>
        <v>OK</v>
      </c>
      <c r="Q13" s="2" t="s">
        <v>375</v>
      </c>
    </row>
    <row r="14" spans="1:17">
      <c r="A14" s="5">
        <v>10</v>
      </c>
      <c r="B14" s="12" t="s">
        <v>404</v>
      </c>
      <c r="C14" s="12">
        <v>8</v>
      </c>
      <c r="D14" s="12">
        <v>0</v>
      </c>
      <c r="E14" s="12">
        <v>0</v>
      </c>
      <c r="F14" s="3" t="s">
        <v>212</v>
      </c>
      <c r="G14" s="3" t="s">
        <v>295</v>
      </c>
      <c r="H14" s="4">
        <f>IFERROR(INDEX(Enemies!$F$5:$F$16,MATCH($B14,Enemies!$A$5:$A$16,0)),"")</f>
        <v>240</v>
      </c>
      <c r="I14" s="4">
        <f>IFERROR(INDEX(Skills!$J$5:$J$46,MATCH($F14,Skills!$B$5:$B$46,0)),0)</f>
        <v>1800</v>
      </c>
      <c r="J14" s="4">
        <f t="shared" si="0"/>
        <v>1</v>
      </c>
      <c r="K14" s="4">
        <f>IFERROR(INDEX(Enemies!$X$5:$X$16,MATCH($B14,Enemies!$A$5:$A$16,0)),0)</f>
        <v>11.4</v>
      </c>
      <c r="L14" s="4">
        <f>IFERROR(INDEX(Skills!$K$5:$K$46,MATCH($G14,Skills!$B$5:$B$46,0)),0)</f>
        <v>30</v>
      </c>
      <c r="M14" s="4">
        <f t="shared" si="1"/>
        <v>0</v>
      </c>
      <c r="N14" s="6">
        <f>IF(Inputs!$B$4&gt;0,$M14/Inputs!$B$4,0)</f>
        <v>0</v>
      </c>
      <c r="O14" s="5">
        <f>MAX(Inputs!$B$16,IFERROR(INDEX(Enemies!$Z$5:$Z$16,MATCH($B14,Enemies!$A$5:$A$16,0)),0)*Inputs!$B$12+$D14*Inputs!$B$13+$E14*Inputs!$B$14-$C14*Inputs!$B$15)</f>
        <v>4710</v>
      </c>
      <c r="P14" s="2" t="str">
        <f t="shared" si="2"/>
        <v>OK</v>
      </c>
      <c r="Q14" s="2" t="s">
        <v>389</v>
      </c>
    </row>
    <row r="15" spans="1:17">
      <c r="A15" s="5">
        <v>11</v>
      </c>
      <c r="B15" s="12" t="s">
        <v>406</v>
      </c>
      <c r="C15" s="12">
        <v>8</v>
      </c>
      <c r="D15" s="12">
        <v>0</v>
      </c>
      <c r="E15" s="12">
        <v>0</v>
      </c>
      <c r="F15" s="3" t="s">
        <v>212</v>
      </c>
      <c r="G15" s="3" t="s">
        <v>295</v>
      </c>
      <c r="H15" s="4">
        <f>IFERROR(INDEX(Enemies!$F$5:$F$16,MATCH($B15,Enemies!$A$5:$A$16,0)),"")</f>
        <v>200</v>
      </c>
      <c r="I15" s="4">
        <f>IFERROR(INDEX(Skills!$J$5:$J$46,MATCH($F15,Skills!$B$5:$B$46,0)),0)</f>
        <v>1800</v>
      </c>
      <c r="J15" s="4">
        <f t="shared" si="0"/>
        <v>1</v>
      </c>
      <c r="K15" s="4">
        <f>IFERROR(INDEX(Enemies!$X$5:$X$16,MATCH($B15,Enemies!$A$5:$A$16,0)),0)</f>
        <v>7.2000000000000011</v>
      </c>
      <c r="L15" s="4">
        <f>IFERROR(INDEX(Skills!$K$5:$K$46,MATCH($G15,Skills!$B$5:$B$46,0)),0)</f>
        <v>30</v>
      </c>
      <c r="M15" s="4">
        <f t="shared" si="1"/>
        <v>0</v>
      </c>
      <c r="N15" s="6">
        <f>IF(Inputs!$B$4&gt;0,$M15/Inputs!$B$4,0)</f>
        <v>0</v>
      </c>
      <c r="O15" s="5">
        <f>MAX(Inputs!$B$16,IFERROR(INDEX(Enemies!$Z$5:$Z$16,MATCH($B15,Enemies!$A$5:$A$16,0)),0)*Inputs!$B$12+$D15*Inputs!$B$13+$E15*Inputs!$B$14-$C15*Inputs!$B$15)</f>
        <v>3740.0000000000005</v>
      </c>
      <c r="P15" s="2" t="str">
        <f t="shared" si="2"/>
        <v>OK</v>
      </c>
      <c r="Q15" s="2" t="s">
        <v>375</v>
      </c>
    </row>
    <row r="16" spans="1:17">
      <c r="A16" s="5">
        <v>12</v>
      </c>
      <c r="B16" s="12" t="s">
        <v>409</v>
      </c>
      <c r="C16" s="12">
        <v>8</v>
      </c>
      <c r="D16" s="12">
        <v>0</v>
      </c>
      <c r="E16" s="12">
        <v>0</v>
      </c>
      <c r="F16" s="3" t="s">
        <v>212</v>
      </c>
      <c r="G16" s="3" t="s">
        <v>295</v>
      </c>
      <c r="H16" s="4">
        <f>IFERROR(INDEX(Enemies!$F$5:$F$16,MATCH($B16,Enemies!$A$5:$A$16,0)),"")</f>
        <v>230</v>
      </c>
      <c r="I16" s="4">
        <f>IFERROR(INDEX(Skills!$J$5:$J$46,MATCH($F16,Skills!$B$5:$B$46,0)),0)</f>
        <v>1800</v>
      </c>
      <c r="J16" s="4">
        <f t="shared" si="0"/>
        <v>1</v>
      </c>
      <c r="K16" s="4">
        <f>IFERROR(INDEX(Enemies!$X$5:$X$16,MATCH($B16,Enemies!$A$5:$A$16,0)),0)</f>
        <v>11.4</v>
      </c>
      <c r="L16" s="4">
        <f>IFERROR(INDEX(Skills!$K$5:$K$46,MATCH($G16,Skills!$B$5:$B$46,0)),0)</f>
        <v>30</v>
      </c>
      <c r="M16" s="4">
        <f t="shared" si="1"/>
        <v>0</v>
      </c>
      <c r="N16" s="6">
        <f>IF(Inputs!$B$4&gt;0,$M16/Inputs!$B$4,0)</f>
        <v>0</v>
      </c>
      <c r="O16" s="5">
        <f>MAX(Inputs!$B$16,IFERROR(INDEX(Enemies!$Z$5:$Z$16,MATCH($B16,Enemies!$A$5:$A$16,0)),0)*Inputs!$B$12+$D16*Inputs!$B$13+$E16*Inputs!$B$14-$C16*Inputs!$B$15)</f>
        <v>4680</v>
      </c>
      <c r="P16" s="2" t="str">
        <f t="shared" si="2"/>
        <v>OK</v>
      </c>
      <c r="Q16" s="2" t="s">
        <v>375</v>
      </c>
    </row>
    <row r="17" spans="1:17">
      <c r="A17" s="5">
        <v>13</v>
      </c>
      <c r="B17" s="12" t="s">
        <v>374</v>
      </c>
      <c r="C17" s="12">
        <v>8</v>
      </c>
      <c r="D17" s="12">
        <v>0</v>
      </c>
      <c r="E17" s="12">
        <v>0</v>
      </c>
      <c r="F17" s="3" t="s">
        <v>212</v>
      </c>
      <c r="G17" s="3" t="s">
        <v>295</v>
      </c>
      <c r="H17" s="4">
        <f>IFERROR(INDEX(Enemies!$F$5:$F$16,MATCH($B17,Enemies!$A$5:$A$16,0)),"")</f>
        <v>150</v>
      </c>
      <c r="I17" s="4">
        <f>IFERROR(INDEX(Skills!$J$5:$J$46,MATCH($F17,Skills!$B$5:$B$46,0)),0)</f>
        <v>1800</v>
      </c>
      <c r="J17" s="4">
        <f t="shared" si="0"/>
        <v>1</v>
      </c>
      <c r="K17" s="4">
        <f>IFERROR(INDEX(Enemies!$X$5:$X$16,MATCH($B17,Enemies!$A$5:$A$16,0)),0)</f>
        <v>6</v>
      </c>
      <c r="L17" s="4">
        <f>IFERROR(INDEX(Skills!$K$5:$K$46,MATCH($G17,Skills!$B$5:$B$46,0)),0)</f>
        <v>30</v>
      </c>
      <c r="M17" s="4">
        <f t="shared" si="1"/>
        <v>0</v>
      </c>
      <c r="N17" s="6">
        <f>IF(Inputs!$B$4&gt;0,$M17/Inputs!$B$4,0)</f>
        <v>0</v>
      </c>
      <c r="O17" s="5">
        <f>MAX(Inputs!$B$16,IFERROR(INDEX(Enemies!$Z$5:$Z$16,MATCH($B17,Enemies!$A$5:$A$16,0)),0)*Inputs!$B$12+$D17*Inputs!$B$13+$E17*Inputs!$B$14-$C17*Inputs!$B$15)</f>
        <v>2290</v>
      </c>
      <c r="P17" s="2" t="str">
        <f t="shared" si="2"/>
        <v>OK</v>
      </c>
      <c r="Q17" s="2" t="s">
        <v>375</v>
      </c>
    </row>
    <row r="18" spans="1:17">
      <c r="A18" s="5">
        <v>14</v>
      </c>
      <c r="B18" s="12" t="s">
        <v>380</v>
      </c>
      <c r="C18" s="12">
        <v>8</v>
      </c>
      <c r="D18" s="12">
        <v>0</v>
      </c>
      <c r="E18" s="12">
        <v>0</v>
      </c>
      <c r="F18" s="3" t="s">
        <v>212</v>
      </c>
      <c r="G18" s="3" t="s">
        <v>295</v>
      </c>
      <c r="H18" s="4">
        <f>IFERROR(INDEX(Enemies!$F$5:$F$16,MATCH($B18,Enemies!$A$5:$A$16,0)),"")</f>
        <v>190</v>
      </c>
      <c r="I18" s="4">
        <f>IFERROR(INDEX(Skills!$J$5:$J$46,MATCH($F18,Skills!$B$5:$B$46,0)),0)</f>
        <v>1800</v>
      </c>
      <c r="J18" s="4">
        <f t="shared" si="0"/>
        <v>1</v>
      </c>
      <c r="K18" s="4">
        <f>IFERROR(INDEX(Enemies!$X$5:$X$16,MATCH($B18,Enemies!$A$5:$A$16,0)),0)</f>
        <v>6</v>
      </c>
      <c r="L18" s="4">
        <f>IFERROR(INDEX(Skills!$K$5:$K$46,MATCH($G18,Skills!$B$5:$B$46,0)),0)</f>
        <v>30</v>
      </c>
      <c r="M18" s="4">
        <f t="shared" si="1"/>
        <v>0</v>
      </c>
      <c r="N18" s="6">
        <f>IF(Inputs!$B$4&gt;0,$M18/Inputs!$B$4,0)</f>
        <v>0</v>
      </c>
      <c r="O18" s="5">
        <f>MAX(Inputs!$B$16,IFERROR(INDEX(Enemies!$Z$5:$Z$16,MATCH($B18,Enemies!$A$5:$A$16,0)),0)*Inputs!$B$12+$D18*Inputs!$B$13+$E18*Inputs!$B$14-$C18*Inputs!$B$15)</f>
        <v>2500</v>
      </c>
      <c r="P18" s="2" t="str">
        <f t="shared" si="2"/>
        <v>OK</v>
      </c>
      <c r="Q18" s="2" t="s">
        <v>375</v>
      </c>
    </row>
    <row r="19" spans="1:17">
      <c r="A19" s="5">
        <v>15</v>
      </c>
      <c r="B19" s="12" t="s">
        <v>383</v>
      </c>
      <c r="C19" s="12">
        <v>8</v>
      </c>
      <c r="D19" s="12">
        <v>0</v>
      </c>
      <c r="E19" s="12">
        <v>0</v>
      </c>
      <c r="F19" s="3" t="s">
        <v>212</v>
      </c>
      <c r="G19" s="3" t="s">
        <v>295</v>
      </c>
      <c r="H19" s="4">
        <f>IFERROR(INDEX(Enemies!$F$5:$F$16,MATCH($B19,Enemies!$A$5:$A$16,0)),"")</f>
        <v>140</v>
      </c>
      <c r="I19" s="4">
        <f>IFERROR(INDEX(Skills!$J$5:$J$46,MATCH($F19,Skills!$B$5:$B$46,0)),0)</f>
        <v>1800</v>
      </c>
      <c r="J19" s="4">
        <f t="shared" si="0"/>
        <v>1</v>
      </c>
      <c r="K19" s="4">
        <f>IFERROR(INDEX(Enemies!$X$5:$X$16,MATCH($B19,Enemies!$A$5:$A$16,0)),0)</f>
        <v>4</v>
      </c>
      <c r="L19" s="4">
        <f>IFERROR(INDEX(Skills!$K$5:$K$46,MATCH($G19,Skills!$B$5:$B$46,0)),0)</f>
        <v>30</v>
      </c>
      <c r="M19" s="4">
        <f t="shared" si="1"/>
        <v>0</v>
      </c>
      <c r="N19" s="6">
        <f>IF(Inputs!$B$4&gt;0,$M19/Inputs!$B$4,0)</f>
        <v>0</v>
      </c>
      <c r="O19" s="5">
        <f>MAX(Inputs!$B$16,IFERROR(INDEX(Enemies!$Z$5:$Z$16,MATCH($B19,Enemies!$A$5:$A$16,0)),0)*Inputs!$B$12+$D19*Inputs!$B$13+$E19*Inputs!$B$14-$C19*Inputs!$B$15)</f>
        <v>1900</v>
      </c>
      <c r="P19" s="2" t="str">
        <f t="shared" si="2"/>
        <v>OK</v>
      </c>
      <c r="Q19" s="2" t="s">
        <v>389</v>
      </c>
    </row>
    <row r="20" spans="1:17">
      <c r="A20" s="5">
        <v>16</v>
      </c>
      <c r="B20" s="12" t="s">
        <v>386</v>
      </c>
      <c r="C20" s="12">
        <v>8</v>
      </c>
      <c r="D20" s="12">
        <v>0</v>
      </c>
      <c r="E20" s="12">
        <v>0</v>
      </c>
      <c r="F20" s="3" t="s">
        <v>212</v>
      </c>
      <c r="G20" s="3" t="s">
        <v>295</v>
      </c>
      <c r="H20" s="4">
        <f>IFERROR(INDEX(Enemies!$F$5:$F$16,MATCH($B20,Enemies!$A$5:$A$16,0)),"")</f>
        <v>180</v>
      </c>
      <c r="I20" s="4">
        <f>IFERROR(INDEX(Skills!$J$5:$J$46,MATCH($F20,Skills!$B$5:$B$46,0)),0)</f>
        <v>1800</v>
      </c>
      <c r="J20" s="4">
        <f t="shared" si="0"/>
        <v>1</v>
      </c>
      <c r="K20" s="4">
        <f>IFERROR(INDEX(Enemies!$X$5:$X$16,MATCH($B20,Enemies!$A$5:$A$16,0)),0)</f>
        <v>6</v>
      </c>
      <c r="L20" s="4">
        <f>IFERROR(INDEX(Skills!$K$5:$K$46,MATCH($G20,Skills!$B$5:$B$46,0)),0)</f>
        <v>30</v>
      </c>
      <c r="M20" s="4">
        <f t="shared" si="1"/>
        <v>0</v>
      </c>
      <c r="N20" s="6">
        <f>IF(Inputs!$B$4&gt;0,$M20/Inputs!$B$4,0)</f>
        <v>0</v>
      </c>
      <c r="O20" s="5">
        <f>MAX(Inputs!$B$16,IFERROR(INDEX(Enemies!$Z$5:$Z$16,MATCH($B20,Enemies!$A$5:$A$16,0)),0)*Inputs!$B$12+$D20*Inputs!$B$13+$E20*Inputs!$B$14-$C20*Inputs!$B$15)</f>
        <v>2430</v>
      </c>
      <c r="P20" s="2" t="str">
        <f t="shared" si="2"/>
        <v>OK</v>
      </c>
      <c r="Q20" s="2" t="s">
        <v>375</v>
      </c>
    </row>
    <row r="21" spans="1:17">
      <c r="A21" s="5">
        <v>17</v>
      </c>
      <c r="B21" s="12" t="s">
        <v>388</v>
      </c>
      <c r="C21" s="12">
        <v>8</v>
      </c>
      <c r="D21" s="12">
        <v>0</v>
      </c>
      <c r="E21" s="12">
        <v>0</v>
      </c>
      <c r="F21" s="3" t="s">
        <v>212</v>
      </c>
      <c r="G21" s="3" t="s">
        <v>295</v>
      </c>
      <c r="H21" s="4">
        <f>IFERROR(INDEX(Enemies!$F$5:$F$16,MATCH($B21,Enemies!$A$5:$A$16,0)),"")</f>
        <v>150</v>
      </c>
      <c r="I21" s="4">
        <f>IFERROR(INDEX(Skills!$J$5:$J$46,MATCH($F21,Skills!$B$5:$B$46,0)),0)</f>
        <v>1800</v>
      </c>
      <c r="J21" s="4">
        <f t="shared" si="0"/>
        <v>1</v>
      </c>
      <c r="K21" s="4">
        <f>IFERROR(INDEX(Enemies!$X$5:$X$16,MATCH($B21,Enemies!$A$5:$A$16,0)),0)</f>
        <v>40</v>
      </c>
      <c r="L21" s="4">
        <f>IFERROR(INDEX(Skills!$K$5:$K$46,MATCH($G21,Skills!$B$5:$B$46,0)),0)</f>
        <v>30</v>
      </c>
      <c r="M21" s="4">
        <f t="shared" si="1"/>
        <v>80</v>
      </c>
      <c r="N21" s="6">
        <f>IF(Inputs!$B$4&gt;0,$M21/Inputs!$B$4,0)</f>
        <v>0.33333333333333331</v>
      </c>
      <c r="O21" s="5">
        <f>MAX(Inputs!$B$16,IFERROR(INDEX(Enemies!$Z$5:$Z$16,MATCH($B21,Enemies!$A$5:$A$16,0)),0)*Inputs!$B$12+$D21*Inputs!$B$13+$E21*Inputs!$B$14-$C21*Inputs!$B$15)</f>
        <v>9490</v>
      </c>
      <c r="P21" s="2" t="str">
        <f t="shared" si="2"/>
        <v>OK</v>
      </c>
      <c r="Q21" s="2" t="s">
        <v>375</v>
      </c>
    </row>
    <row r="22" spans="1:17">
      <c r="A22" s="5">
        <v>18</v>
      </c>
      <c r="B22" s="12" t="s">
        <v>393</v>
      </c>
      <c r="C22" s="12">
        <v>8</v>
      </c>
      <c r="D22" s="12">
        <v>0</v>
      </c>
      <c r="E22" s="12">
        <v>0</v>
      </c>
      <c r="F22" s="3" t="s">
        <v>212</v>
      </c>
      <c r="G22" s="3" t="s">
        <v>295</v>
      </c>
      <c r="H22" s="4">
        <f>IFERROR(INDEX(Enemies!$F$5:$F$16,MATCH($B22,Enemies!$A$5:$A$16,0)),"")</f>
        <v>210</v>
      </c>
      <c r="I22" s="4">
        <f>IFERROR(INDEX(Skills!$J$5:$J$46,MATCH($F22,Skills!$B$5:$B$46,0)),0)</f>
        <v>1800</v>
      </c>
      <c r="J22" s="4">
        <f t="shared" si="0"/>
        <v>1</v>
      </c>
      <c r="K22" s="4">
        <f>IFERROR(INDEX(Enemies!$X$5:$X$16,MATCH($B22,Enemies!$A$5:$A$16,0)),0)</f>
        <v>57.6</v>
      </c>
      <c r="L22" s="4">
        <f>IFERROR(INDEX(Skills!$K$5:$K$46,MATCH($G22,Skills!$B$5:$B$46,0)),0)</f>
        <v>30</v>
      </c>
      <c r="M22" s="4">
        <f t="shared" si="1"/>
        <v>220.8</v>
      </c>
      <c r="N22" s="6">
        <f>IF(Inputs!$B$4&gt;0,$M22/Inputs!$B$4,0)</f>
        <v>0.92</v>
      </c>
      <c r="O22" s="5">
        <f>MAX(Inputs!$B$16,IFERROR(INDEX(Enemies!$Z$5:$Z$16,MATCH($B22,Enemies!$A$5:$A$16,0)),0)*Inputs!$B$12+$D22*Inputs!$B$13+$E22*Inputs!$B$14-$C22*Inputs!$B$15)</f>
        <v>13289.999999999998</v>
      </c>
      <c r="P22" s="2" t="str">
        <f t="shared" si="2"/>
        <v>주의</v>
      </c>
      <c r="Q22" s="2" t="s">
        <v>375</v>
      </c>
    </row>
    <row r="23" spans="1:17">
      <c r="A23" s="5">
        <v>19</v>
      </c>
      <c r="B23" s="12" t="s">
        <v>397</v>
      </c>
      <c r="C23" s="12">
        <v>8</v>
      </c>
      <c r="D23" s="12">
        <v>0</v>
      </c>
      <c r="E23" s="12">
        <v>0</v>
      </c>
      <c r="F23" s="3" t="s">
        <v>212</v>
      </c>
      <c r="G23" s="3" t="s">
        <v>295</v>
      </c>
      <c r="H23" s="4">
        <f>IFERROR(INDEX(Enemies!$F$5:$F$16,MATCH($B23,Enemies!$A$5:$A$16,0)),"")</f>
        <v>170</v>
      </c>
      <c r="I23" s="4">
        <f>IFERROR(INDEX(Skills!$J$5:$J$46,MATCH($F23,Skills!$B$5:$B$46,0)),0)</f>
        <v>1800</v>
      </c>
      <c r="J23" s="4">
        <f t="shared" si="0"/>
        <v>1</v>
      </c>
      <c r="K23" s="4">
        <f>IFERROR(INDEX(Enemies!$X$5:$X$16,MATCH($B23,Enemies!$A$5:$A$16,0)),0)</f>
        <v>27.200000000000003</v>
      </c>
      <c r="L23" s="4">
        <f>IFERROR(INDEX(Skills!$K$5:$K$46,MATCH($G23,Skills!$B$5:$B$46,0)),0)</f>
        <v>30</v>
      </c>
      <c r="M23" s="4">
        <f t="shared" si="1"/>
        <v>0</v>
      </c>
      <c r="N23" s="6">
        <f>IF(Inputs!$B$4&gt;0,$M23/Inputs!$B$4,0)</f>
        <v>0</v>
      </c>
      <c r="O23" s="5">
        <f>MAX(Inputs!$B$16,IFERROR(INDEX(Enemies!$Z$5:$Z$16,MATCH($B23,Enemies!$A$5:$A$16,0)),0)*Inputs!$B$12+$D23*Inputs!$B$13+$E23*Inputs!$B$14-$C23*Inputs!$B$15)</f>
        <v>7000</v>
      </c>
      <c r="P23" s="2" t="str">
        <f t="shared" si="2"/>
        <v>OK</v>
      </c>
      <c r="Q23" s="2" t="s">
        <v>375</v>
      </c>
    </row>
    <row r="24" spans="1:17">
      <c r="A24" s="5">
        <v>20</v>
      </c>
      <c r="B24" s="12" t="s">
        <v>399</v>
      </c>
      <c r="C24" s="12">
        <v>8</v>
      </c>
      <c r="D24" s="12">
        <v>0</v>
      </c>
      <c r="E24" s="12">
        <v>0</v>
      </c>
      <c r="F24" s="3" t="s">
        <v>212</v>
      </c>
      <c r="G24" s="3" t="s">
        <v>295</v>
      </c>
      <c r="H24" s="4">
        <f>IFERROR(INDEX(Enemies!$F$5:$F$16,MATCH($B24,Enemies!$A$5:$A$16,0)),"")</f>
        <v>220</v>
      </c>
      <c r="I24" s="4">
        <f>IFERROR(INDEX(Skills!$J$5:$J$46,MATCH($F24,Skills!$B$5:$B$46,0)),0)</f>
        <v>1800</v>
      </c>
      <c r="J24" s="4">
        <f t="shared" si="0"/>
        <v>1</v>
      </c>
      <c r="K24" s="4">
        <f>IFERROR(INDEX(Enemies!$X$5:$X$16,MATCH($B24,Enemies!$A$5:$A$16,0)),0)</f>
        <v>57.6</v>
      </c>
      <c r="L24" s="4">
        <f>IFERROR(INDEX(Skills!$K$5:$K$46,MATCH($G24,Skills!$B$5:$B$46,0)),0)</f>
        <v>30</v>
      </c>
      <c r="M24" s="4">
        <f t="shared" si="1"/>
        <v>220.8</v>
      </c>
      <c r="N24" s="6">
        <f>IF(Inputs!$B$4&gt;0,$M24/Inputs!$B$4,0)</f>
        <v>0.92</v>
      </c>
      <c r="O24" s="5">
        <f>MAX(Inputs!$B$16,IFERROR(INDEX(Enemies!$Z$5:$Z$16,MATCH($B24,Enemies!$A$5:$A$16,0)),0)*Inputs!$B$12+$D24*Inputs!$B$13+$E24*Inputs!$B$14-$C24*Inputs!$B$15)</f>
        <v>13320</v>
      </c>
      <c r="P24" s="2" t="str">
        <f t="shared" si="2"/>
        <v>주의</v>
      </c>
      <c r="Q24" s="2" t="s">
        <v>410</v>
      </c>
    </row>
  </sheetData>
  <phoneticPr fontId="9" type="noConversion"/>
  <conditionalFormatting sqref="P5:P24">
    <cfRule type="containsText" dxfId="2" priority="1" operator="containsText" text="OK"/>
    <cfRule type="containsText" dxfId="1" priority="2" operator="containsText" text="주의"/>
    <cfRule type="containsText" dxfId="0" priority="3" operator="containsText" text="위험"/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500-000000000000}">
          <x14:formula1>
            <xm:f>Lists!$F$2:$F$13</xm:f>
          </x14:formula1>
          <xm:sqref>B5:B24</xm:sqref>
        </x14:dataValidation>
        <x14:dataValidation type="list" allowBlank="1" xr:uid="{00000000-0002-0000-0500-000001000000}">
          <x14:formula1>
            <xm:f>Lists!$G$2:$G$43</xm:f>
          </x14:formula1>
          <xm:sqref>F5:G24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32"/>
  <sheetViews>
    <sheetView showGridLines="0" workbookViewId="0"/>
  </sheetViews>
  <sheetFormatPr defaultRowHeight="14.25"/>
  <cols>
    <col min="1" max="1" width="24" customWidth="1"/>
    <col min="2" max="3" width="16" customWidth="1"/>
    <col min="4" max="4" width="18" customWidth="1"/>
    <col min="5" max="5" width="14" customWidth="1"/>
    <col min="6" max="6" width="16.125" customWidth="1"/>
    <col min="7" max="7" width="39.75" customWidth="1"/>
    <col min="8" max="9" width="16" customWidth="1"/>
    <col min="17" max="17" width="48" customWidth="1"/>
  </cols>
  <sheetData>
    <row r="1" spans="1:17" ht="25.5" customHeight="1">
      <c r="A1" s="18" t="s">
        <v>424</v>
      </c>
    </row>
    <row r="2" spans="1:17" ht="19.5" customHeight="1">
      <c r="A2" s="21" t="s">
        <v>425</v>
      </c>
    </row>
    <row r="3" spans="1:17">
      <c r="A3" s="1"/>
      <c r="H3" s="8"/>
    </row>
    <row r="4" spans="1:17" ht="45">
      <c r="A4" s="20" t="s">
        <v>426</v>
      </c>
      <c r="B4" s="20" t="s">
        <v>427</v>
      </c>
      <c r="C4" s="20" t="s">
        <v>428</v>
      </c>
      <c r="D4" s="20" t="s">
        <v>429</v>
      </c>
      <c r="E4" s="20" t="s">
        <v>430</v>
      </c>
      <c r="F4" s="20" t="s">
        <v>431</v>
      </c>
      <c r="G4" s="20" t="s">
        <v>432</v>
      </c>
      <c r="H4" s="20" t="s">
        <v>433</v>
      </c>
      <c r="I4" s="20" t="s">
        <v>434</v>
      </c>
      <c r="J4" s="20" t="s">
        <v>435</v>
      </c>
      <c r="K4" s="20" t="s">
        <v>436</v>
      </c>
      <c r="L4" s="20" t="s">
        <v>437</v>
      </c>
      <c r="M4" s="20" t="s">
        <v>438</v>
      </c>
      <c r="N4" s="20" t="s">
        <v>439</v>
      </c>
      <c r="O4" s="20" t="s">
        <v>440</v>
      </c>
      <c r="P4" s="20" t="s">
        <v>441</v>
      </c>
      <c r="Q4" s="20" t="s">
        <v>442</v>
      </c>
    </row>
    <row r="5" spans="1:17">
      <c r="A5" s="2" t="s">
        <v>443</v>
      </c>
      <c r="B5" s="2" t="s">
        <v>444</v>
      </c>
      <c r="C5" s="16" t="s">
        <v>445</v>
      </c>
      <c r="D5" s="12"/>
      <c r="E5" s="5">
        <v>0.3</v>
      </c>
      <c r="F5" s="5">
        <v>2</v>
      </c>
      <c r="G5" s="2">
        <v>1</v>
      </c>
      <c r="H5" s="28"/>
      <c r="I5" s="26"/>
      <c r="J5">
        <v>2</v>
      </c>
      <c r="K5">
        <v>0</v>
      </c>
      <c r="L5">
        <v>0</v>
      </c>
      <c r="M5">
        <v>0</v>
      </c>
      <c r="N5">
        <v>0</v>
      </c>
      <c r="O5">
        <v>0</v>
      </c>
      <c r="P5">
        <v>0.1</v>
      </c>
      <c r="Q5" s="26" t="s">
        <v>446</v>
      </c>
    </row>
    <row r="6" spans="1:17">
      <c r="A6" s="28" t="s">
        <v>447</v>
      </c>
      <c r="B6" s="8" t="s">
        <v>448</v>
      </c>
      <c r="C6" s="8" t="s">
        <v>449</v>
      </c>
      <c r="D6" s="8" t="s">
        <v>215</v>
      </c>
      <c r="E6" s="8">
        <v>0.3</v>
      </c>
      <c r="F6" s="8">
        <v>2</v>
      </c>
      <c r="G6" s="8">
        <v>1</v>
      </c>
      <c r="H6" s="28"/>
      <c r="I6" s="26"/>
      <c r="J6">
        <v>2</v>
      </c>
      <c r="K6">
        <v>0</v>
      </c>
      <c r="L6">
        <v>0</v>
      </c>
      <c r="M6">
        <v>0</v>
      </c>
      <c r="N6">
        <v>0</v>
      </c>
      <c r="O6">
        <v>0</v>
      </c>
      <c r="P6">
        <v>0.1</v>
      </c>
      <c r="Q6" s="26" t="s">
        <v>450</v>
      </c>
    </row>
    <row r="7" spans="1:17">
      <c r="A7" s="8" t="s">
        <v>451</v>
      </c>
      <c r="B7" s="8" t="s">
        <v>448</v>
      </c>
      <c r="C7" s="8" t="s">
        <v>449</v>
      </c>
      <c r="D7" s="8" t="s">
        <v>323</v>
      </c>
      <c r="E7" s="8">
        <v>0.3</v>
      </c>
      <c r="F7" s="8">
        <v>2</v>
      </c>
      <c r="G7" s="8">
        <v>1</v>
      </c>
      <c r="H7" s="28"/>
      <c r="I7" s="26"/>
      <c r="J7">
        <v>2</v>
      </c>
      <c r="K7">
        <v>0</v>
      </c>
      <c r="L7">
        <v>0</v>
      </c>
      <c r="M7">
        <v>0</v>
      </c>
      <c r="N7">
        <v>0</v>
      </c>
      <c r="O7">
        <v>0</v>
      </c>
      <c r="P7">
        <v>0.1</v>
      </c>
      <c r="Q7" s="26" t="s">
        <v>452</v>
      </c>
    </row>
    <row r="8" spans="1:17">
      <c r="A8" s="1" t="s">
        <v>453</v>
      </c>
      <c r="B8" t="s">
        <v>448</v>
      </c>
      <c r="C8" t="s">
        <v>449</v>
      </c>
      <c r="D8" t="s">
        <v>207</v>
      </c>
      <c r="E8">
        <v>0.3</v>
      </c>
      <c r="F8">
        <v>2</v>
      </c>
      <c r="G8" s="8">
        <v>1</v>
      </c>
      <c r="H8" s="28"/>
      <c r="I8" s="26"/>
      <c r="J8">
        <v>2</v>
      </c>
      <c r="K8">
        <v>0</v>
      </c>
      <c r="L8">
        <v>0</v>
      </c>
      <c r="M8">
        <v>0</v>
      </c>
      <c r="N8">
        <v>0</v>
      </c>
      <c r="O8">
        <v>0</v>
      </c>
      <c r="P8">
        <v>0.1</v>
      </c>
      <c r="Q8" s="26" t="s">
        <v>454</v>
      </c>
    </row>
    <row r="9" spans="1:17">
      <c r="A9" s="7" t="s">
        <v>455</v>
      </c>
      <c r="B9" s="7" t="s">
        <v>448</v>
      </c>
      <c r="C9" s="7" t="s">
        <v>449</v>
      </c>
      <c r="D9" s="7" t="s">
        <v>303</v>
      </c>
      <c r="E9" s="7">
        <v>0.3</v>
      </c>
      <c r="F9" s="7">
        <v>2</v>
      </c>
      <c r="G9" s="8">
        <v>1</v>
      </c>
      <c r="H9" s="28"/>
      <c r="I9" s="26"/>
      <c r="J9">
        <v>2</v>
      </c>
      <c r="K9">
        <v>0</v>
      </c>
      <c r="L9">
        <v>0</v>
      </c>
      <c r="M9">
        <v>0</v>
      </c>
      <c r="N9">
        <v>0</v>
      </c>
      <c r="O9">
        <v>0</v>
      </c>
      <c r="P9">
        <v>0.1</v>
      </c>
      <c r="Q9" s="26" t="s">
        <v>456</v>
      </c>
    </row>
    <row r="10" spans="1:17">
      <c r="A10" s="2" t="s">
        <v>457</v>
      </c>
      <c r="B10" s="12" t="s">
        <v>448</v>
      </c>
      <c r="C10" s="12" t="s">
        <v>449</v>
      </c>
      <c r="D10" s="12" t="s">
        <v>267</v>
      </c>
      <c r="E10" s="12">
        <v>0.3</v>
      </c>
      <c r="F10" s="5">
        <v>2</v>
      </c>
      <c r="G10" s="8">
        <v>1</v>
      </c>
      <c r="H10" s="28"/>
      <c r="I10" s="26"/>
      <c r="J10">
        <v>2</v>
      </c>
      <c r="K10">
        <v>0</v>
      </c>
      <c r="L10">
        <v>0</v>
      </c>
      <c r="M10">
        <v>0</v>
      </c>
      <c r="N10">
        <v>0</v>
      </c>
      <c r="O10">
        <v>0</v>
      </c>
      <c r="P10">
        <v>0.1</v>
      </c>
      <c r="Q10" s="26" t="s">
        <v>458</v>
      </c>
    </row>
    <row r="11" spans="1:17">
      <c r="A11" s="25" t="s">
        <v>459</v>
      </c>
      <c r="B11" s="12" t="s">
        <v>448</v>
      </c>
      <c r="C11" s="12" t="s">
        <v>449</v>
      </c>
      <c r="D11" s="12" t="s">
        <v>249</v>
      </c>
      <c r="E11" s="12">
        <v>0.3</v>
      </c>
      <c r="F11" s="5">
        <v>2</v>
      </c>
      <c r="G11" s="8">
        <v>1</v>
      </c>
      <c r="H11" s="28"/>
      <c r="I11" s="26"/>
      <c r="J11">
        <v>2</v>
      </c>
      <c r="K11">
        <v>0</v>
      </c>
      <c r="L11">
        <v>0</v>
      </c>
      <c r="M11">
        <v>0</v>
      </c>
      <c r="N11">
        <v>0</v>
      </c>
      <c r="O11">
        <v>0</v>
      </c>
      <c r="P11">
        <v>0.1</v>
      </c>
      <c r="Q11" s="26" t="s">
        <v>460</v>
      </c>
    </row>
    <row r="12" spans="1:17">
      <c r="A12" s="2" t="s">
        <v>461</v>
      </c>
      <c r="B12" s="12" t="s">
        <v>448</v>
      </c>
      <c r="C12" s="12" t="s">
        <v>449</v>
      </c>
      <c r="D12" s="12" t="s">
        <v>319</v>
      </c>
      <c r="E12" s="12">
        <v>0.3</v>
      </c>
      <c r="F12" s="5">
        <v>2</v>
      </c>
      <c r="G12" s="8">
        <v>1</v>
      </c>
      <c r="H12" s="28"/>
      <c r="I12" s="26"/>
      <c r="J12">
        <v>2</v>
      </c>
      <c r="K12">
        <v>0</v>
      </c>
      <c r="L12">
        <v>0</v>
      </c>
      <c r="M12">
        <v>0</v>
      </c>
      <c r="N12">
        <v>0</v>
      </c>
      <c r="O12">
        <v>0</v>
      </c>
      <c r="P12">
        <v>0.1</v>
      </c>
      <c r="Q12" s="26" t="s">
        <v>462</v>
      </c>
    </row>
    <row r="13" spans="1:17">
      <c r="A13" s="2" t="s">
        <v>463</v>
      </c>
      <c r="B13" s="12" t="s">
        <v>448</v>
      </c>
      <c r="C13" s="12" t="s">
        <v>449</v>
      </c>
      <c r="D13" s="12" t="s">
        <v>315</v>
      </c>
      <c r="E13" s="12">
        <v>0.3</v>
      </c>
      <c r="F13" s="5">
        <v>2</v>
      </c>
      <c r="G13" s="8">
        <v>1</v>
      </c>
      <c r="H13" s="28"/>
      <c r="I13" s="26"/>
      <c r="J13">
        <v>2</v>
      </c>
      <c r="K13">
        <v>0</v>
      </c>
      <c r="L13">
        <v>0</v>
      </c>
      <c r="M13">
        <v>0</v>
      </c>
      <c r="N13">
        <v>0</v>
      </c>
      <c r="O13">
        <v>0</v>
      </c>
      <c r="P13">
        <v>0.1</v>
      </c>
      <c r="Q13" s="26" t="s">
        <v>464</v>
      </c>
    </row>
    <row r="14" spans="1:17">
      <c r="A14" t="s">
        <v>465</v>
      </c>
      <c r="B14" t="s">
        <v>448</v>
      </c>
      <c r="C14" t="s">
        <v>449</v>
      </c>
      <c r="D14" t="s">
        <v>299</v>
      </c>
      <c r="E14">
        <v>0.3</v>
      </c>
      <c r="F14">
        <v>2</v>
      </c>
      <c r="G14">
        <v>1</v>
      </c>
      <c r="H14" s="26"/>
      <c r="I14" s="26"/>
      <c r="J14">
        <v>2</v>
      </c>
      <c r="K14">
        <v>0</v>
      </c>
      <c r="L14">
        <v>0</v>
      </c>
      <c r="M14">
        <v>0</v>
      </c>
      <c r="N14">
        <v>0</v>
      </c>
      <c r="O14">
        <v>0</v>
      </c>
      <c r="P14">
        <v>0.1</v>
      </c>
      <c r="Q14" s="26" t="s">
        <v>466</v>
      </c>
    </row>
    <row r="15" spans="1:17">
      <c r="A15" t="s">
        <v>467</v>
      </c>
      <c r="B15" t="s">
        <v>448</v>
      </c>
      <c r="C15" t="s">
        <v>449</v>
      </c>
      <c r="D15" t="s">
        <v>237</v>
      </c>
      <c r="E15">
        <v>0.3</v>
      </c>
      <c r="F15">
        <v>2</v>
      </c>
      <c r="G15">
        <v>1</v>
      </c>
      <c r="H15" s="26"/>
      <c r="I15" s="26"/>
      <c r="J15">
        <v>2</v>
      </c>
      <c r="K15">
        <v>0</v>
      </c>
      <c r="L15">
        <v>0</v>
      </c>
      <c r="M15">
        <v>0</v>
      </c>
      <c r="N15">
        <v>0</v>
      </c>
      <c r="O15">
        <v>0</v>
      </c>
      <c r="P15">
        <v>0.1</v>
      </c>
      <c r="Q15" s="26" t="s">
        <v>468</v>
      </c>
    </row>
    <row r="16" spans="1:17">
      <c r="A16" t="s">
        <v>469</v>
      </c>
      <c r="B16" t="s">
        <v>448</v>
      </c>
      <c r="C16" t="s">
        <v>449</v>
      </c>
      <c r="D16" t="s">
        <v>200</v>
      </c>
      <c r="E16">
        <v>0.3</v>
      </c>
      <c r="F16">
        <v>2</v>
      </c>
      <c r="G16">
        <v>1</v>
      </c>
      <c r="H16" s="26"/>
      <c r="I16" s="26"/>
      <c r="J16">
        <v>2</v>
      </c>
      <c r="K16">
        <v>0</v>
      </c>
      <c r="L16">
        <v>0</v>
      </c>
      <c r="M16">
        <v>0</v>
      </c>
      <c r="N16">
        <v>0</v>
      </c>
      <c r="O16">
        <v>0</v>
      </c>
      <c r="P16">
        <v>0.1</v>
      </c>
      <c r="Q16" s="26" t="s">
        <v>470</v>
      </c>
    </row>
    <row r="17" spans="1:17">
      <c r="A17" t="s">
        <v>471</v>
      </c>
      <c r="B17" t="s">
        <v>448</v>
      </c>
      <c r="C17" t="s">
        <v>449</v>
      </c>
      <c r="D17" t="s">
        <v>191</v>
      </c>
      <c r="E17">
        <v>0.3</v>
      </c>
      <c r="F17">
        <v>2</v>
      </c>
      <c r="G17">
        <v>1</v>
      </c>
      <c r="H17" s="26"/>
      <c r="I17" s="26"/>
      <c r="J17">
        <v>2</v>
      </c>
      <c r="K17">
        <v>0</v>
      </c>
      <c r="L17">
        <v>0</v>
      </c>
      <c r="M17">
        <v>0</v>
      </c>
      <c r="N17">
        <v>0</v>
      </c>
      <c r="O17">
        <v>0</v>
      </c>
      <c r="P17">
        <v>0.1</v>
      </c>
      <c r="Q17" s="26" t="s">
        <v>472</v>
      </c>
    </row>
    <row r="18" spans="1:17">
      <c r="A18" t="s">
        <v>473</v>
      </c>
      <c r="B18" t="s">
        <v>448</v>
      </c>
      <c r="C18" t="s">
        <v>449</v>
      </c>
      <c r="D18" t="s">
        <v>241</v>
      </c>
      <c r="E18">
        <v>0.3</v>
      </c>
      <c r="F18">
        <v>2</v>
      </c>
      <c r="G18">
        <v>1</v>
      </c>
      <c r="H18" s="26"/>
      <c r="I18" s="26"/>
      <c r="J18">
        <v>2</v>
      </c>
      <c r="K18">
        <v>0</v>
      </c>
      <c r="L18">
        <v>0</v>
      </c>
      <c r="M18">
        <v>0</v>
      </c>
      <c r="N18">
        <v>0</v>
      </c>
      <c r="O18">
        <v>0</v>
      </c>
      <c r="P18">
        <v>0.1</v>
      </c>
      <c r="Q18" s="26" t="s">
        <v>474</v>
      </c>
    </row>
    <row r="19" spans="1:17">
      <c r="A19" t="s">
        <v>475</v>
      </c>
      <c r="B19" t="s">
        <v>448</v>
      </c>
      <c r="C19" t="s">
        <v>449</v>
      </c>
      <c r="D19" t="s">
        <v>203</v>
      </c>
      <c r="E19">
        <v>0.3</v>
      </c>
      <c r="F19">
        <v>2</v>
      </c>
      <c r="G19">
        <v>1</v>
      </c>
      <c r="H19" s="26"/>
      <c r="I19" s="26"/>
      <c r="J19">
        <v>2</v>
      </c>
      <c r="K19">
        <v>0</v>
      </c>
      <c r="L19">
        <v>0</v>
      </c>
      <c r="M19">
        <v>0</v>
      </c>
      <c r="N19">
        <v>0</v>
      </c>
      <c r="O19">
        <v>0</v>
      </c>
      <c r="P19">
        <v>0.1</v>
      </c>
      <c r="Q19" s="26" t="s">
        <v>476</v>
      </c>
    </row>
    <row r="20" spans="1:17">
      <c r="A20" t="s">
        <v>477</v>
      </c>
      <c r="B20" t="s">
        <v>448</v>
      </c>
      <c r="C20" t="s">
        <v>449</v>
      </c>
      <c r="D20" t="s">
        <v>187</v>
      </c>
      <c r="E20">
        <v>0.3</v>
      </c>
      <c r="F20">
        <v>2</v>
      </c>
      <c r="G20">
        <v>1</v>
      </c>
      <c r="H20" s="26"/>
      <c r="I20" s="26"/>
      <c r="J20">
        <v>2</v>
      </c>
      <c r="K20">
        <v>0</v>
      </c>
      <c r="L20">
        <v>0</v>
      </c>
      <c r="M20">
        <v>0</v>
      </c>
      <c r="N20">
        <v>0</v>
      </c>
      <c r="O20">
        <v>0</v>
      </c>
      <c r="P20">
        <v>0.1</v>
      </c>
      <c r="Q20" s="26" t="s">
        <v>478</v>
      </c>
    </row>
    <row r="21" spans="1:17">
      <c r="A21" t="s">
        <v>479</v>
      </c>
      <c r="B21" t="s">
        <v>448</v>
      </c>
      <c r="C21" t="s">
        <v>449</v>
      </c>
      <c r="D21" t="s">
        <v>277</v>
      </c>
      <c r="E21">
        <v>0.3</v>
      </c>
      <c r="F21">
        <v>2</v>
      </c>
      <c r="G21">
        <v>1</v>
      </c>
      <c r="H21" s="26"/>
      <c r="I21" s="26"/>
      <c r="J21">
        <v>2</v>
      </c>
      <c r="K21">
        <v>0</v>
      </c>
      <c r="L21">
        <v>0</v>
      </c>
      <c r="M21">
        <v>0</v>
      </c>
      <c r="N21">
        <v>0</v>
      </c>
      <c r="O21">
        <v>0</v>
      </c>
      <c r="P21">
        <v>0.1</v>
      </c>
      <c r="Q21" s="26" t="s">
        <v>480</v>
      </c>
    </row>
    <row r="22" spans="1:17">
      <c r="A22" t="s">
        <v>481</v>
      </c>
      <c r="B22" t="s">
        <v>448</v>
      </c>
      <c r="C22" t="s">
        <v>449</v>
      </c>
      <c r="D22" t="s">
        <v>272</v>
      </c>
      <c r="E22">
        <v>0.3</v>
      </c>
      <c r="F22">
        <v>2</v>
      </c>
      <c r="G22">
        <v>1</v>
      </c>
      <c r="H22" s="26"/>
      <c r="I22" s="26"/>
      <c r="J22">
        <v>2</v>
      </c>
      <c r="K22">
        <v>0</v>
      </c>
      <c r="L22">
        <v>0</v>
      </c>
      <c r="M22">
        <v>0</v>
      </c>
      <c r="N22">
        <v>0</v>
      </c>
      <c r="O22">
        <v>0</v>
      </c>
      <c r="P22">
        <v>0.1</v>
      </c>
      <c r="Q22" s="26" t="s">
        <v>482</v>
      </c>
    </row>
    <row r="23" spans="1:17">
      <c r="A23" t="s">
        <v>483</v>
      </c>
      <c r="B23" t="s">
        <v>448</v>
      </c>
      <c r="C23" t="s">
        <v>449</v>
      </c>
      <c r="D23" t="s">
        <v>258</v>
      </c>
      <c r="E23">
        <v>0.3</v>
      </c>
      <c r="F23">
        <v>2</v>
      </c>
      <c r="G23">
        <v>1</v>
      </c>
      <c r="H23" s="26"/>
      <c r="I23" s="26"/>
      <c r="J23">
        <v>2</v>
      </c>
      <c r="K23">
        <v>0</v>
      </c>
      <c r="L23">
        <v>0</v>
      </c>
      <c r="M23">
        <v>0</v>
      </c>
      <c r="N23">
        <v>0</v>
      </c>
      <c r="O23">
        <v>0</v>
      </c>
      <c r="P23">
        <v>0.1</v>
      </c>
      <c r="Q23" s="26" t="s">
        <v>484</v>
      </c>
    </row>
    <row r="24" spans="1:17">
      <c r="A24" t="s">
        <v>485</v>
      </c>
      <c r="B24" t="s">
        <v>448</v>
      </c>
      <c r="C24" t="s">
        <v>449</v>
      </c>
      <c r="D24" t="s">
        <v>281</v>
      </c>
      <c r="E24">
        <v>0.3</v>
      </c>
      <c r="F24">
        <v>2</v>
      </c>
      <c r="G24">
        <v>1</v>
      </c>
      <c r="H24" s="26"/>
      <c r="I24" s="26"/>
      <c r="J24">
        <v>2</v>
      </c>
      <c r="K24">
        <v>0</v>
      </c>
      <c r="L24">
        <v>0</v>
      </c>
      <c r="M24">
        <v>0</v>
      </c>
      <c r="N24">
        <v>0</v>
      </c>
      <c r="O24">
        <v>0</v>
      </c>
      <c r="P24">
        <v>0.1</v>
      </c>
      <c r="Q24" s="26" t="s">
        <v>486</v>
      </c>
    </row>
    <row r="25" spans="1:17">
      <c r="A25" t="s">
        <v>487</v>
      </c>
      <c r="B25" t="s">
        <v>448</v>
      </c>
      <c r="C25" t="s">
        <v>449</v>
      </c>
      <c r="D25" t="s">
        <v>286</v>
      </c>
      <c r="E25">
        <v>0.3</v>
      </c>
      <c r="F25">
        <v>2</v>
      </c>
      <c r="G25">
        <v>1</v>
      </c>
      <c r="H25" s="26"/>
      <c r="I25" s="26"/>
      <c r="J25">
        <v>2</v>
      </c>
      <c r="K25">
        <v>0</v>
      </c>
      <c r="L25">
        <v>0</v>
      </c>
      <c r="M25">
        <v>0</v>
      </c>
      <c r="N25">
        <v>0</v>
      </c>
      <c r="O25">
        <v>0</v>
      </c>
      <c r="P25">
        <v>0.1</v>
      </c>
      <c r="Q25" s="26" t="s">
        <v>488</v>
      </c>
    </row>
    <row r="26" spans="1:17">
      <c r="H26" s="26"/>
      <c r="I26" s="26"/>
      <c r="Q26" s="26"/>
    </row>
    <row r="27" spans="1:17">
      <c r="H27" s="26"/>
      <c r="I27" s="26"/>
      <c r="Q27" s="26"/>
    </row>
    <row r="28" spans="1:17" ht="30">
      <c r="A28" s="20" t="s">
        <v>489</v>
      </c>
      <c r="B28" s="20" t="s">
        <v>490</v>
      </c>
      <c r="C28" s="20" t="s">
        <v>415</v>
      </c>
      <c r="D28" s="20" t="s">
        <v>416</v>
      </c>
      <c r="E28" s="20" t="s">
        <v>491</v>
      </c>
      <c r="F28" s="20" t="s">
        <v>14</v>
      </c>
      <c r="H28" s="26"/>
      <c r="I28" s="26"/>
      <c r="Q28" s="26"/>
    </row>
    <row r="29" spans="1:17" ht="15">
      <c r="A29" t="s">
        <v>492</v>
      </c>
      <c r="B29" t="s">
        <v>543</v>
      </c>
      <c r="C29" t="s">
        <v>544</v>
      </c>
      <c r="D29" t="s">
        <v>85</v>
      </c>
      <c r="E29" t="s">
        <v>545</v>
      </c>
      <c r="F29" s="26" t="s">
        <v>546</v>
      </c>
      <c r="H29" s="26"/>
      <c r="I29" s="26"/>
      <c r="Q29" s="26"/>
    </row>
    <row r="30" spans="1:17">
      <c r="A30" t="s">
        <v>493</v>
      </c>
      <c r="B30">
        <v>1</v>
      </c>
      <c r="C30">
        <v>1</v>
      </c>
      <c r="D30">
        <v>2</v>
      </c>
      <c r="E30">
        <v>6</v>
      </c>
      <c r="F30" s="26">
        <f>MAX(Inputs!$B$16,$B30*Inputs!$B$12+$C30*Inputs!$B$13+$D30*Inputs!$B$14-$E30*Inputs!$B$15)</f>
        <v>70</v>
      </c>
      <c r="H30" s="26"/>
      <c r="I30" s="26"/>
      <c r="Q30" s="26"/>
    </row>
    <row r="31" spans="1:17">
      <c r="A31" t="s">
        <v>494</v>
      </c>
      <c r="B31">
        <v>2</v>
      </c>
      <c r="C31">
        <v>2</v>
      </c>
      <c r="D31">
        <v>0</v>
      </c>
      <c r="E31">
        <v>5</v>
      </c>
      <c r="F31" s="26">
        <f>MAX(Inputs!$B$16,$B31*Inputs!$B$12+$C31*Inputs!$B$13+$D31*Inputs!$B$14-$E31*Inputs!$B$15)</f>
        <v>190</v>
      </c>
      <c r="H31" s="26"/>
      <c r="I31" s="26"/>
      <c r="Q31" s="26"/>
    </row>
    <row r="32" spans="1:17">
      <c r="A32" t="s">
        <v>495</v>
      </c>
      <c r="B32">
        <v>2</v>
      </c>
      <c r="C32">
        <v>0</v>
      </c>
      <c r="D32">
        <v>4</v>
      </c>
      <c r="E32">
        <v>9</v>
      </c>
      <c r="F32" s="26">
        <f>MAX(Inputs!$B$16,$B32*Inputs!$B$12+$C32*Inputs!$B$13+$D32*Inputs!$B$14-$E32*Inputs!$B$15)</f>
        <v>130</v>
      </c>
      <c r="H32" s="26"/>
      <c r="I32" s="26"/>
      <c r="Q32" s="26"/>
    </row>
  </sheetData>
  <phoneticPr fontId="9" type="noConversion"/>
  <pageMargins left="0.7" right="0.7" top="0.75" bottom="0.75" header="0.3" footer="0.3"/>
  <drawing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1"/>
  <sheetViews>
    <sheetView showGridLines="0" workbookViewId="0"/>
  </sheetViews>
  <sheetFormatPr defaultRowHeight="14.25"/>
  <cols>
    <col min="1" max="1" width="24" customWidth="1"/>
    <col min="2" max="2" width="18" customWidth="1"/>
    <col min="3" max="3" width="32" customWidth="1"/>
    <col min="4" max="4" width="58" customWidth="1"/>
    <col min="5" max="5" width="14" customWidth="1"/>
    <col min="6" max="6" width="20" customWidth="1"/>
  </cols>
  <sheetData>
    <row r="1" spans="1:8" ht="25.5" customHeight="1">
      <c r="A1" s="18" t="s">
        <v>496</v>
      </c>
      <c r="G1" s="8"/>
      <c r="H1" s="8"/>
    </row>
    <row r="2" spans="1:8" ht="19.5" customHeight="1">
      <c r="A2" s="21" t="s">
        <v>497</v>
      </c>
    </row>
    <row r="3" spans="1:8">
      <c r="A3" s="8"/>
      <c r="B3" s="8"/>
      <c r="C3" s="8"/>
      <c r="D3" s="8"/>
      <c r="E3" s="8"/>
      <c r="F3" s="8"/>
      <c r="G3" s="8"/>
      <c r="H3" s="8"/>
    </row>
    <row r="4" spans="1:8" ht="15">
      <c r="A4" s="20" t="s">
        <v>498</v>
      </c>
      <c r="B4" s="20" t="s">
        <v>499</v>
      </c>
      <c r="C4" s="20" t="s">
        <v>500</v>
      </c>
      <c r="D4" s="20" t="s">
        <v>501</v>
      </c>
      <c r="E4" s="20" t="s">
        <v>502</v>
      </c>
      <c r="F4" s="20" t="s">
        <v>503</v>
      </c>
      <c r="G4" s="8"/>
      <c r="H4" s="8"/>
    </row>
    <row r="5" spans="1:8" ht="34.5" customHeight="1">
      <c r="A5" s="17" t="s">
        <v>504</v>
      </c>
      <c r="B5" s="17" t="s">
        <v>505</v>
      </c>
      <c r="C5" s="17" t="s">
        <v>506</v>
      </c>
      <c r="D5" s="25" t="s">
        <v>507</v>
      </c>
      <c r="E5" s="17" t="s">
        <v>508</v>
      </c>
      <c r="F5" s="17"/>
      <c r="G5" s="8"/>
      <c r="H5" s="8"/>
    </row>
    <row r="6" spans="1:8" ht="34.5" customHeight="1">
      <c r="A6" s="17" t="s">
        <v>509</v>
      </c>
      <c r="B6" s="17" t="s">
        <v>510</v>
      </c>
      <c r="C6" s="17" t="s">
        <v>511</v>
      </c>
      <c r="D6" s="17" t="s">
        <v>512</v>
      </c>
      <c r="E6" s="17" t="s">
        <v>508</v>
      </c>
      <c r="F6" s="17"/>
      <c r="G6" s="8"/>
      <c r="H6" s="8"/>
    </row>
    <row r="7" spans="1:8" ht="34.5" customHeight="1">
      <c r="A7" s="17" t="s">
        <v>513</v>
      </c>
      <c r="B7" s="17" t="s">
        <v>514</v>
      </c>
      <c r="C7" s="25" t="s">
        <v>515</v>
      </c>
      <c r="D7" s="25" t="s">
        <v>516</v>
      </c>
      <c r="E7" s="17" t="s">
        <v>508</v>
      </c>
      <c r="F7" s="17" t="s">
        <v>517</v>
      </c>
      <c r="G7" s="8"/>
      <c r="H7" s="8"/>
    </row>
    <row r="8" spans="1:8" ht="34.5" customHeight="1">
      <c r="A8" s="17" t="s">
        <v>518</v>
      </c>
      <c r="B8" s="17" t="s">
        <v>519</v>
      </c>
      <c r="C8" s="25" t="s">
        <v>520</v>
      </c>
      <c r="D8" s="25" t="s">
        <v>521</v>
      </c>
      <c r="E8" s="17" t="s">
        <v>508</v>
      </c>
      <c r="F8" s="17"/>
      <c r="G8" s="8"/>
      <c r="H8" s="8"/>
    </row>
    <row r="9" spans="1:8" ht="34.5" customHeight="1">
      <c r="A9" s="17" t="s">
        <v>522</v>
      </c>
      <c r="B9" s="17" t="s">
        <v>523</v>
      </c>
      <c r="C9" s="25" t="s">
        <v>524</v>
      </c>
      <c r="D9" s="17" t="s">
        <v>525</v>
      </c>
      <c r="E9" s="17" t="s">
        <v>526</v>
      </c>
      <c r="F9" s="17" t="s">
        <v>527</v>
      </c>
      <c r="G9" s="8"/>
      <c r="H9" s="8"/>
    </row>
    <row r="10" spans="1:8" ht="34.5" customHeight="1">
      <c r="A10" s="17" t="s">
        <v>528</v>
      </c>
      <c r="B10" s="17" t="s">
        <v>529</v>
      </c>
      <c r="C10" s="25" t="s">
        <v>530</v>
      </c>
      <c r="D10" s="25" t="s">
        <v>531</v>
      </c>
      <c r="E10" s="17" t="s">
        <v>526</v>
      </c>
      <c r="F10" s="17"/>
      <c r="G10" s="8"/>
      <c r="H10" s="8"/>
    </row>
    <row r="11" spans="1:8" ht="34.5" customHeight="1">
      <c r="A11" s="17"/>
      <c r="B11" s="17"/>
      <c r="C11" s="17"/>
      <c r="D11" s="17"/>
      <c r="E11" s="17"/>
      <c r="F11" s="17"/>
      <c r="G11" s="8"/>
      <c r="H11" s="8"/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3"/>
  <sheetViews>
    <sheetView showGridLines="0" workbookViewId="0"/>
  </sheetViews>
  <sheetFormatPr defaultRowHeight="14.25"/>
  <cols>
    <col min="1" max="2" width="14" customWidth="1"/>
    <col min="3" max="3" width="18" customWidth="1"/>
    <col min="4" max="4" width="16" customWidth="1"/>
    <col min="5" max="9" width="14" customWidth="1"/>
  </cols>
  <sheetData>
    <row r="1" spans="1:9" ht="15">
      <c r="A1" s="20" t="s">
        <v>532</v>
      </c>
      <c r="B1" s="20" t="s">
        <v>352</v>
      </c>
      <c r="C1" s="20" t="s">
        <v>353</v>
      </c>
      <c r="D1" s="20" t="s">
        <v>350</v>
      </c>
      <c r="E1" s="20" t="s">
        <v>351</v>
      </c>
      <c r="F1" s="20" t="s">
        <v>533</v>
      </c>
      <c r="G1" s="20" t="s">
        <v>534</v>
      </c>
      <c r="H1" s="20" t="s">
        <v>170</v>
      </c>
      <c r="I1" s="29" t="s">
        <v>535</v>
      </c>
    </row>
    <row r="2" spans="1:9">
      <c r="A2" s="2" t="s">
        <v>181</v>
      </c>
      <c r="B2" s="2" t="s">
        <v>376</v>
      </c>
      <c r="C2" s="2" t="s">
        <v>377</v>
      </c>
      <c r="D2" s="2" t="s">
        <v>375</v>
      </c>
      <c r="E2" s="2" t="s">
        <v>375</v>
      </c>
      <c r="F2" s="2" t="s">
        <v>374</v>
      </c>
      <c r="G2" s="2" t="s">
        <v>180</v>
      </c>
      <c r="H2" s="2" t="s">
        <v>184</v>
      </c>
      <c r="I2" t="s">
        <v>536</v>
      </c>
    </row>
    <row r="3" spans="1:9">
      <c r="A3" s="2" t="s">
        <v>259</v>
      </c>
      <c r="B3" s="2" t="s">
        <v>391</v>
      </c>
      <c r="C3" s="2" t="s">
        <v>384</v>
      </c>
      <c r="D3" s="2" t="s">
        <v>389</v>
      </c>
      <c r="E3" s="2" t="s">
        <v>390</v>
      </c>
      <c r="F3" s="2" t="s">
        <v>380</v>
      </c>
      <c r="G3" s="2" t="s">
        <v>187</v>
      </c>
      <c r="H3" s="2" t="s">
        <v>209</v>
      </c>
      <c r="I3" t="s">
        <v>537</v>
      </c>
    </row>
    <row r="4" spans="1:9">
      <c r="A4" s="2" t="s">
        <v>282</v>
      </c>
      <c r="B4" s="2" t="s">
        <v>402</v>
      </c>
      <c r="C4" s="2"/>
      <c r="D4" s="2" t="s">
        <v>407</v>
      </c>
      <c r="E4" s="2"/>
      <c r="F4" s="2" t="s">
        <v>383</v>
      </c>
      <c r="G4" s="2" t="s">
        <v>191</v>
      </c>
      <c r="H4" s="2" t="s">
        <v>332</v>
      </c>
      <c r="I4" t="s">
        <v>538</v>
      </c>
    </row>
    <row r="5" spans="1:9">
      <c r="A5" s="2" t="s">
        <v>328</v>
      </c>
      <c r="B5" s="2"/>
      <c r="C5" s="2"/>
      <c r="D5" s="2" t="s">
        <v>410</v>
      </c>
      <c r="E5" s="2"/>
      <c r="F5" s="2" t="s">
        <v>386</v>
      </c>
      <c r="G5" s="2" t="s">
        <v>195</v>
      </c>
      <c r="H5" s="2" t="s">
        <v>539</v>
      </c>
      <c r="I5" t="s">
        <v>540</v>
      </c>
    </row>
    <row r="6" spans="1:9">
      <c r="A6" s="2"/>
      <c r="B6" s="2"/>
      <c r="C6" s="2"/>
      <c r="D6" s="2"/>
      <c r="E6" s="2"/>
      <c r="F6" s="2" t="s">
        <v>388</v>
      </c>
      <c r="G6" s="2" t="s">
        <v>378</v>
      </c>
      <c r="H6" s="2"/>
      <c r="I6" t="s">
        <v>541</v>
      </c>
    </row>
    <row r="7" spans="1:9">
      <c r="A7" s="2"/>
      <c r="B7" s="2"/>
      <c r="C7" s="2"/>
      <c r="D7" s="2"/>
      <c r="E7" s="2"/>
      <c r="F7" s="2" t="s">
        <v>393</v>
      </c>
      <c r="G7" s="2" t="s">
        <v>203</v>
      </c>
      <c r="H7" s="2"/>
    </row>
    <row r="8" spans="1:9">
      <c r="A8" s="2"/>
      <c r="B8" s="2"/>
      <c r="C8" s="2"/>
      <c r="D8" s="2"/>
      <c r="E8" s="2"/>
      <c r="F8" s="2" t="s">
        <v>397</v>
      </c>
      <c r="G8" s="2" t="s">
        <v>207</v>
      </c>
      <c r="H8" s="2"/>
    </row>
    <row r="9" spans="1:9">
      <c r="A9" s="2"/>
      <c r="B9" s="2"/>
      <c r="C9" s="2"/>
      <c r="D9" s="2"/>
      <c r="E9" s="2"/>
      <c r="F9" s="2" t="s">
        <v>399</v>
      </c>
      <c r="G9" s="2" t="s">
        <v>212</v>
      </c>
      <c r="H9" s="2"/>
    </row>
    <row r="10" spans="1:9">
      <c r="A10" s="2"/>
      <c r="B10" s="2"/>
      <c r="C10" s="2"/>
      <c r="D10" s="2"/>
      <c r="E10" s="2"/>
      <c r="F10" s="2" t="s">
        <v>401</v>
      </c>
      <c r="G10" s="2" t="s">
        <v>215</v>
      </c>
      <c r="H10" s="2"/>
    </row>
    <row r="11" spans="1:9">
      <c r="A11" s="2"/>
      <c r="B11" s="2"/>
      <c r="C11" s="2"/>
      <c r="D11" s="2"/>
      <c r="E11" s="2"/>
      <c r="F11" s="2" t="s">
        <v>404</v>
      </c>
      <c r="G11" s="2" t="s">
        <v>394</v>
      </c>
      <c r="H11" s="2"/>
    </row>
    <row r="12" spans="1:9">
      <c r="A12" s="2"/>
      <c r="B12" s="2"/>
      <c r="C12" s="2"/>
      <c r="D12" s="2"/>
      <c r="E12" s="2"/>
      <c r="F12" s="2" t="s">
        <v>406</v>
      </c>
      <c r="G12" s="2" t="s">
        <v>223</v>
      </c>
      <c r="H12" s="2"/>
    </row>
    <row r="13" spans="1:9">
      <c r="A13" s="2"/>
      <c r="B13" s="2"/>
      <c r="C13" s="2"/>
      <c r="D13" s="2"/>
      <c r="E13" s="2"/>
      <c r="F13" s="2" t="s">
        <v>409</v>
      </c>
      <c r="G13" s="2" t="s">
        <v>228</v>
      </c>
      <c r="H13" s="2"/>
    </row>
    <row r="14" spans="1:9">
      <c r="A14" s="2"/>
      <c r="B14" s="2"/>
      <c r="C14" s="2"/>
      <c r="D14" s="2"/>
      <c r="E14" s="2"/>
      <c r="F14" s="2"/>
      <c r="G14" s="2" t="s">
        <v>232</v>
      </c>
      <c r="H14" s="2"/>
    </row>
    <row r="15" spans="1:9">
      <c r="A15" s="2"/>
      <c r="B15" s="2"/>
      <c r="C15" s="2"/>
      <c r="D15" s="2"/>
      <c r="E15" s="2"/>
      <c r="F15" s="2"/>
      <c r="G15" s="2" t="s">
        <v>237</v>
      </c>
      <c r="H15" s="2"/>
    </row>
    <row r="16" spans="1:9">
      <c r="A16" s="2"/>
      <c r="B16" s="2"/>
      <c r="C16" s="2"/>
      <c r="D16" s="2"/>
      <c r="E16" s="2"/>
      <c r="F16" s="2"/>
      <c r="G16" s="2" t="s">
        <v>395</v>
      </c>
      <c r="H16" s="2"/>
    </row>
    <row r="17" spans="1:8">
      <c r="A17" s="2"/>
      <c r="B17" s="2"/>
      <c r="C17" s="2"/>
      <c r="D17" s="2"/>
      <c r="E17" s="2"/>
      <c r="F17" s="2"/>
      <c r="G17" s="2" t="s">
        <v>245</v>
      </c>
      <c r="H17" s="2"/>
    </row>
    <row r="18" spans="1:8">
      <c r="A18" s="2"/>
      <c r="B18" s="2"/>
      <c r="C18" s="2"/>
      <c r="D18" s="2"/>
      <c r="E18" s="2"/>
      <c r="F18" s="2"/>
      <c r="G18" s="2" t="s">
        <v>249</v>
      </c>
      <c r="H18" s="2"/>
    </row>
    <row r="19" spans="1:8">
      <c r="A19" s="2"/>
      <c r="B19" s="2"/>
      <c r="C19" s="2"/>
      <c r="D19" s="2"/>
      <c r="E19" s="2"/>
      <c r="F19" s="2"/>
      <c r="G19" s="2" t="s">
        <v>252</v>
      </c>
      <c r="H19" s="2"/>
    </row>
    <row r="20" spans="1:8">
      <c r="A20" s="2"/>
      <c r="B20" s="2"/>
      <c r="C20" s="2"/>
      <c r="D20" s="2"/>
      <c r="E20" s="2"/>
      <c r="F20" s="2"/>
      <c r="G20" s="2" t="s">
        <v>255</v>
      </c>
      <c r="H20" s="2"/>
    </row>
    <row r="21" spans="1:8">
      <c r="A21" s="2"/>
      <c r="B21" s="2"/>
      <c r="C21" s="2"/>
      <c r="D21" s="2"/>
      <c r="E21" s="2"/>
      <c r="F21" s="2"/>
      <c r="G21" s="2" t="s">
        <v>258</v>
      </c>
      <c r="H21" s="2"/>
    </row>
    <row r="22" spans="1:8">
      <c r="A22" s="2"/>
      <c r="B22" s="2"/>
      <c r="C22" s="2"/>
      <c r="D22" s="2"/>
      <c r="E22" s="2"/>
      <c r="F22" s="2"/>
      <c r="G22" s="2" t="s">
        <v>263</v>
      </c>
      <c r="H22" s="2"/>
    </row>
    <row r="23" spans="1:8">
      <c r="A23" s="2"/>
      <c r="B23" s="2"/>
      <c r="C23" s="2"/>
      <c r="D23" s="2"/>
      <c r="E23" s="2"/>
      <c r="F23" s="2"/>
      <c r="G23" s="2" t="s">
        <v>267</v>
      </c>
      <c r="H23" s="2"/>
    </row>
    <row r="24" spans="1:8">
      <c r="A24" s="2"/>
      <c r="B24" s="2"/>
      <c r="C24" s="2"/>
      <c r="D24" s="2"/>
      <c r="E24" s="2"/>
      <c r="F24" s="2"/>
      <c r="G24" s="2" t="s">
        <v>272</v>
      </c>
      <c r="H24" s="2"/>
    </row>
    <row r="25" spans="1:8">
      <c r="A25" s="2"/>
      <c r="B25" s="2"/>
      <c r="C25" s="2"/>
      <c r="D25" s="2"/>
      <c r="E25" s="2"/>
      <c r="F25" s="2"/>
      <c r="G25" s="2" t="s">
        <v>277</v>
      </c>
      <c r="H25" s="2"/>
    </row>
    <row r="26" spans="1:8">
      <c r="A26" s="2"/>
      <c r="B26" s="2"/>
      <c r="C26" s="2"/>
      <c r="D26" s="2"/>
      <c r="E26" s="2"/>
      <c r="F26" s="2"/>
      <c r="G26" s="2" t="s">
        <v>281</v>
      </c>
      <c r="H26" s="2"/>
    </row>
    <row r="27" spans="1:8">
      <c r="A27" s="2"/>
      <c r="B27" s="2"/>
      <c r="C27" s="2"/>
      <c r="D27" s="2"/>
      <c r="E27" s="2"/>
      <c r="F27" s="2"/>
      <c r="G27" s="2" t="s">
        <v>286</v>
      </c>
      <c r="H27" s="2"/>
    </row>
    <row r="28" spans="1:8">
      <c r="A28" s="2"/>
      <c r="B28" s="2"/>
      <c r="C28" s="2"/>
      <c r="D28" s="2"/>
      <c r="E28" s="2"/>
      <c r="F28" s="2"/>
      <c r="G28" s="2" t="s">
        <v>290</v>
      </c>
      <c r="H28" s="2"/>
    </row>
    <row r="29" spans="1:8">
      <c r="A29" s="2"/>
      <c r="B29" s="2"/>
      <c r="C29" s="2"/>
      <c r="D29" s="2"/>
      <c r="E29" s="2"/>
      <c r="F29" s="2"/>
      <c r="G29" s="2" t="s">
        <v>295</v>
      </c>
      <c r="H29" s="2"/>
    </row>
    <row r="30" spans="1:8">
      <c r="A30" s="2"/>
      <c r="B30" s="2"/>
      <c r="C30" s="2"/>
      <c r="D30" s="2"/>
      <c r="E30" s="2"/>
      <c r="F30" s="2"/>
      <c r="G30" s="2" t="s">
        <v>299</v>
      </c>
      <c r="H30" s="2"/>
    </row>
    <row r="31" spans="1:8">
      <c r="G31" t="s">
        <v>303</v>
      </c>
    </row>
    <row r="32" spans="1:8">
      <c r="G32" t="s">
        <v>307</v>
      </c>
    </row>
    <row r="33" spans="7:7">
      <c r="G33" t="s">
        <v>312</v>
      </c>
    </row>
    <row r="34" spans="7:7">
      <c r="G34" t="s">
        <v>315</v>
      </c>
    </row>
    <row r="35" spans="7:7">
      <c r="G35" t="s">
        <v>319</v>
      </c>
    </row>
    <row r="36" spans="7:7">
      <c r="G36" t="s">
        <v>323</v>
      </c>
    </row>
    <row r="37" spans="7:7">
      <c r="G37" t="s">
        <v>327</v>
      </c>
    </row>
    <row r="38" spans="7:7">
      <c r="G38" t="s">
        <v>331</v>
      </c>
    </row>
    <row r="39" spans="7:7">
      <c r="G39" t="s">
        <v>335</v>
      </c>
    </row>
    <row r="40" spans="7:7">
      <c r="G40" t="s">
        <v>339</v>
      </c>
    </row>
    <row r="41" spans="7:7">
      <c r="G41" t="s">
        <v>342</v>
      </c>
    </row>
    <row r="42" spans="7:7">
      <c r="G42" t="s">
        <v>346</v>
      </c>
    </row>
    <row r="43" spans="7:7">
      <c r="G43" t="s">
        <v>542</v>
      </c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Dashboard</vt:lpstr>
      <vt:lpstr>Inputs</vt:lpstr>
      <vt:lpstr>TileCost</vt:lpstr>
      <vt:lpstr>Skills</vt:lpstr>
      <vt:lpstr>Enemies</vt:lpstr>
      <vt:lpstr>CombatSim</vt:lpstr>
      <vt:lpstr>RewardsScore</vt:lpstr>
      <vt:lpstr>DevHandoff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규민 노</cp:lastModifiedBy>
  <dcterms:created xsi:type="dcterms:W3CDTF">2026-05-24T03:06:14Z</dcterms:created>
  <dcterms:modified xsi:type="dcterms:W3CDTF">2026-06-23T05:14:43Z</dcterms:modified>
</cp:coreProperties>
</file>