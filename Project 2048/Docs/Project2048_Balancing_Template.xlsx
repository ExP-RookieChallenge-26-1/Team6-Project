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Inputs" sheetId="2" state="visible" r:id="rId2"/>
    <sheet name="TileCost" sheetId="3" state="visible" r:id="rId3"/>
    <sheet name="Skills" sheetId="4" state="visible" r:id="rId4"/>
    <sheet name="Enemies" sheetId="5" state="visible" r:id="rId5"/>
    <sheet name="CombatSim" sheetId="6" state="visible" r:id="rId6"/>
    <sheet name="RewardsScore" sheetId="7" state="visible" r:id="rId7"/>
    <sheet name="DevHandoff" sheetId="8" state="visible" r:id="rId8"/>
    <sheet name="Lists" sheetId="9" state="visible" r:id="rId9"/>
  </sheets>
  <definedNames/>
</workbook>
</file>

<file path=xl/styles.xml><?xml version="1.0" encoding="utf-8"?>
<styleSheet xmlns="http://schemas.openxmlformats.org/spreadsheetml/2006/main">
  <numFmts count="4">
    <numFmt numFmtId="164" formatCode="0.000"/>
    <numFmt numFmtId="165" formatCode="+0;-0;0"/>
    <numFmt numFmtId="166" formatCode="0.0"/>
    <numFmt numFmtId="167" formatCode="0.00x"/>
  </numFmts>
  <fonts count="13">
    <font>
      <name val="Carlito"/>
      <sz val="11"/>
    </font>
    <font>
      <name val="Carlito"/>
      <b val="1"/>
      <color rgb="001F2933"/>
      <sz val="11"/>
    </font>
    <font>
      <name val="Carlito"/>
      <color rgb="001F2933"/>
      <sz val="11"/>
    </font>
    <font>
      <name val="Carlito"/>
      <b val="1"/>
      <color rgb="00FFFFFF"/>
      <sz val="15"/>
    </font>
    <font>
      <name val="Carlito"/>
      <color rgb="001F2933"/>
      <sz val="10"/>
    </font>
    <font>
      <name val="Carlito"/>
      <b val="1"/>
      <color rgb="00FFFFFF"/>
      <sz val="11"/>
    </font>
    <font>
      <name val="맑은 고딕"/>
      <b val="1"/>
      <color rgb="001F2933"/>
      <sz val="10"/>
    </font>
    <font>
      <name val="맑은 고딕"/>
      <color rgb="001F2933"/>
      <sz val="10"/>
    </font>
    <font>
      <name val="맑은 고딕"/>
      <b val="1"/>
      <color rgb="00FFFFFF"/>
      <sz val="15"/>
    </font>
    <font>
      <b val="1"/>
      <color rgb="00FFFFFF"/>
      <sz val="16"/>
    </font>
    <font>
      <i val="1"/>
      <color rgb="00666666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FFF3BF"/>
      </patternFill>
    </fill>
    <fill>
      <patternFill patternType="solid">
        <fgColor rgb="00E8F5F2"/>
      </patternFill>
    </fill>
    <fill>
      <patternFill patternType="solid">
        <fgColor rgb="001F7A7A"/>
      </patternFill>
    </fill>
    <fill>
      <patternFill patternType="solid">
        <fgColor rgb="002F5D8C"/>
      </patternFill>
    </fill>
    <fill>
      <patternFill patternType="solid">
        <fgColor rgb="001F4E78"/>
      </patternFill>
    </fill>
    <fill>
      <patternFill patternType="solid">
        <fgColor rgb="004F81BD"/>
      </patternFill>
    </fill>
  </fills>
  <borders count="1">
    <border/>
  </borders>
  <cellStyleXfs count="1">
    <xf numFmtId="0" fontId="0" fillId="0" borderId="0"/>
  </cellStyleXfs>
  <cellXfs count="8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2" fontId="2" fillId="6" borderId="0" applyAlignment="1" pivotButton="0" quotePrefix="0" xfId="0">
      <alignment vertical="center"/>
    </xf>
    <xf numFmtId="2" fontId="1" fillId="7" borderId="0" applyAlignment="1" pivotButton="0" quotePrefix="0" xfId="0">
      <alignment vertical="center"/>
    </xf>
    <xf numFmtId="1" fontId="2" fillId="3" borderId="0" applyAlignment="1" pivotButton="0" quotePrefix="0" xfId="0">
      <alignment vertical="center"/>
    </xf>
    <xf numFmtId="1" fontId="2" fillId="6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165" fontId="2" fillId="3" borderId="0" applyAlignment="1" pivotButton="0" quotePrefix="0" xfId="0">
      <alignment vertical="center"/>
    </xf>
    <xf numFmtId="2" fontId="2" fillId="3" borderId="0" applyAlignment="1" pivotButton="0" quotePrefix="0" xfId="0">
      <alignment vertical="center"/>
    </xf>
    <xf numFmtId="9" fontId="2" fillId="3" borderId="0" applyAlignment="1" pivotButton="0" quotePrefix="0" xfId="0">
      <alignment vertical="center"/>
    </xf>
    <xf numFmtId="166" fontId="2" fillId="3" borderId="0" applyAlignment="1" pivotButton="0" quotePrefix="0" xfId="0">
      <alignment vertical="center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horizontal="left"/>
    </xf>
    <xf numFmtId="0" fontId="5" fillId="8" borderId="0" applyAlignment="1" pivotButton="0" quotePrefix="0" xfId="0">
      <alignment horizontal="left" vertical="center"/>
    </xf>
    <xf numFmtId="9" fontId="2" fillId="6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0" fillId="9" borderId="0" pivotButton="0" quotePrefix="0" xfId="0"/>
    <xf numFmtId="0" fontId="5" fillId="9" borderId="0" pivotButton="0" quotePrefix="0" xfId="0"/>
    <xf numFmtId="0" fontId="5" fillId="9" borderId="0" applyAlignment="1" pivotButton="0" quotePrefix="0" xfId="0">
      <alignment horizontal="left"/>
    </xf>
    <xf numFmtId="0" fontId="5" fillId="9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9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7" fillId="3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166" fontId="7" fillId="3" borderId="0" applyAlignment="1" pivotButton="0" quotePrefix="0" xfId="0">
      <alignment vertical="center"/>
    </xf>
    <xf numFmtId="1" fontId="7" fillId="3" borderId="0" applyAlignment="1" pivotButton="0" quotePrefix="0" xfId="0">
      <alignment vertical="center"/>
    </xf>
    <xf numFmtId="9" fontId="7" fillId="3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2" fontId="7" fillId="6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2" fontId="6" fillId="7" borderId="0" applyAlignment="1" pivotButton="0" quotePrefix="0" xfId="0">
      <alignment vertical="center"/>
    </xf>
    <xf numFmtId="1" fontId="7" fillId="6" borderId="0" applyAlignment="1" pivotButton="0" quotePrefix="0" xfId="0">
      <alignment vertical="center"/>
    </xf>
    <xf numFmtId="164" fontId="7" fillId="3" borderId="0" applyAlignment="1" pivotButton="0" quotePrefix="0" xfId="0">
      <alignment vertical="center"/>
    </xf>
    <xf numFmtId="165" fontId="7" fillId="3" borderId="0" applyAlignment="1" pivotButton="0" quotePrefix="0" xfId="0">
      <alignment vertical="center"/>
    </xf>
    <xf numFmtId="2" fontId="7" fillId="3" borderId="0" applyAlignment="1" pivotButton="0" quotePrefix="0" xfId="0">
      <alignment vertical="center"/>
    </xf>
    <xf numFmtId="9" fontId="7" fillId="6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8" fillId="4" borderId="0" applyAlignment="1" pivotButton="0" quotePrefix="0" xfId="0">
      <alignment horizontal="center" vertical="center"/>
    </xf>
    <xf numFmtId="166" fontId="7" fillId="3" borderId="0" applyAlignment="1" pivotButton="0" quotePrefix="0" xfId="0">
      <alignment vertical="center"/>
    </xf>
    <xf numFmtId="1" fontId="7" fillId="3" borderId="0" applyAlignment="1" pivotButton="0" quotePrefix="0" xfId="0">
      <alignment vertical="center"/>
    </xf>
    <xf numFmtId="9" fontId="7" fillId="3" borderId="0" applyAlignment="1" pivotButton="0" quotePrefix="0" xfId="0">
      <alignment vertical="center"/>
    </xf>
    <xf numFmtId="0" fontId="9" fillId="10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2" fontId="7" fillId="6" borderId="0" applyAlignment="1" pivotButton="0" quotePrefix="0" xfId="0">
      <alignment vertical="center"/>
    </xf>
    <xf numFmtId="2" fontId="6" fillId="7" borderId="0" applyAlignment="1" pivotButton="0" quotePrefix="0" xfId="0">
      <alignment vertical="center"/>
    </xf>
    <xf numFmtId="1" fontId="7" fillId="6" borderId="0" applyAlignment="1" pivotButton="0" quotePrefix="0" xfId="0">
      <alignment vertical="center"/>
    </xf>
    <xf numFmtId="164" fontId="7" fillId="3" borderId="0" applyAlignment="1" pivotButton="0" quotePrefix="0" xfId="0">
      <alignment vertical="center"/>
    </xf>
    <xf numFmtId="165" fontId="7" fillId="3" borderId="0" applyAlignment="1" pivotButton="0" quotePrefix="0" xfId="0">
      <alignment vertical="center"/>
    </xf>
    <xf numFmtId="0" fontId="10" fillId="5" borderId="0" applyAlignment="1" pivotButton="0" quotePrefix="0" xfId="0">
      <alignment vertical="top" wrapText="1"/>
    </xf>
    <xf numFmtId="1" fontId="7" fillId="3" borderId="0" applyAlignment="1" pivotButton="0" quotePrefix="0" xfId="0">
      <alignment vertical="top" wrapText="1"/>
    </xf>
    <xf numFmtId="2" fontId="7" fillId="3" borderId="0" applyAlignment="1" pivotButton="0" quotePrefix="0" xfId="0">
      <alignment vertical="center"/>
    </xf>
    <xf numFmtId="2" fontId="7" fillId="3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6" fontId="7" fillId="3" borderId="0" applyAlignment="1" pivotButton="0" quotePrefix="0" xfId="0">
      <alignment vertical="top" wrapText="1"/>
    </xf>
    <xf numFmtId="9" fontId="7" fillId="6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11" fillId="0" borderId="0" pivotButton="0" quotePrefix="0" xfId="0"/>
    <xf numFmtId="167" fontId="7" fillId="0" borderId="0" applyAlignment="1" pivotButton="0" quotePrefix="0" xfId="0">
      <alignment vertical="center"/>
    </xf>
    <xf numFmtId="0" fontId="12" fillId="11" borderId="0" applyAlignment="1" pivotButton="0" quotePrefix="0" xfId="0">
      <alignment vertical="top" wrapText="1"/>
    </xf>
    <xf numFmtId="2" fontId="7" fillId="0" borderId="0" applyAlignment="1" pivotButton="0" quotePrefix="0" xfId="0">
      <alignment vertical="center"/>
    </xf>
  </cellXfs>
  <cellStyles count="1">
    <cellStyle name="Normal" xfId="0"/>
  </cellStyles>
  <dxfs count="9">
    <dxf>
      <font>
        <b val="1"/>
        <color rgb="001F2933"/>
      </font>
      <fill>
        <patternFill patternType="solid">
          <bgColor rgb="00FFF1CC"/>
        </patternFill>
      </fill>
    </dxf>
    <dxf>
      <font>
        <b val="1"/>
        <color rgb="001F2933"/>
      </font>
      <fill>
        <patternFill patternType="solid">
          <bgColor rgb="00DFF4E7"/>
        </patternFill>
      </fill>
    </dxf>
    <dxf>
      <font>
        <b val="1"/>
        <color rgb="001F2933"/>
      </font>
      <fill>
        <patternFill patternType="solid">
          <bgColor rgb="00FFF1CC"/>
        </patternFill>
      </fill>
    </dxf>
    <dxf>
      <font>
        <b val="1"/>
        <color rgb="001F2933"/>
      </font>
      <fill>
        <patternFill patternType="solid">
          <bgColor rgb="00FBE0E0"/>
        </patternFill>
      </fill>
    </dxf>
    <dxf>
      <font>
        <b val="1"/>
        <color rgb="001F2933"/>
      </font>
      <fill>
        <patternFill patternType="solid">
          <bgColor rgb="00FBE0E0"/>
        </patternFill>
      </fill>
    </dxf>
    <dxf>
      <font>
        <b val="1"/>
        <color rgb="001F2933"/>
      </font>
      <fill>
        <patternFill patternType="solid">
          <bgColor rgb="00DFF4E7"/>
        </patternFill>
      </fill>
    </dxf>
    <dxf>
      <font>
        <b val="1"/>
        <color rgb="001F2933"/>
      </font>
      <fill>
        <patternFill patternType="solid">
          <bgColor rgb="00FFF1CC"/>
        </patternFill>
      </fill>
    </dxf>
    <dxf>
      <font>
        <b val="1"/>
        <color rgb="001F2933"/>
      </font>
      <fill>
        <patternFill patternType="solid">
          <bgColor rgb="00FBE0E0"/>
        </patternFill>
      </fill>
    </dxf>
    <dxf>
      <font>
        <b val="1"/>
        <color rgb="001F2933"/>
      </font>
      <fill>
        <patternFill patternType="solid">
          <bgColor rgb="00FBE0E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몬스터 위험도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Risk Score</v>
          </tx>
          <spPr>
            <a:ln>
              <a:prstDash val="solid"/>
            </a:ln>
          </spPr>
          <cat>
            <strRef>
              <f>'Dashboard'!$A$17:$A$28</f>
              <strCache>
                <ptCount val="0"/>
              </strCache>
            </strRef>
          </cat>
          <val>
            <numRef>
              <f>'Dashboard'!$B$17:$B$28</f>
              <numCache>
                <formatCode>0.0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타일 코스트 곡선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Current Cost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'TileCost'!$B$5:$B$15</f>
              <strCache>
                <ptCount val="0"/>
              </strCache>
            </strRef>
          </cat>
          <val>
            <numRef>
              <f>'TileCost'!$C$5:$C$15</f>
              <numCache>
                <formatCode>0</formatCode>
                <ptCount val="0"/>
              </numCache>
            </numRef>
          </val>
          <smooth val="0"/>
        </ser>
        <ser>
          <idx val="1"/>
          <order val="1"/>
          <tx>
            <v>Target Cost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'TileCost'!$B$5:$B$15</f>
              <strCache>
                <ptCount val="0"/>
              </strCache>
            </strRef>
          </cat>
          <val>
            <numRef>
              <f>'TileCost'!$D$5:$D$15</f>
              <numCache>
                <formatCode>0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점수 시나리오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Difficulty</v>
          </tx>
          <spPr>
            <a:ln>
              <a:prstDash val="solid"/>
            </a:ln>
          </spPr>
          <cat>
            <strRef>
              <f>'RewardsScore'!$A$10:$A$13</f>
              <strCache>
                <ptCount val="0"/>
              </strCache>
            </strRef>
          </cat>
          <val>
            <numRef>
              <f>'RewardsScore'!$B$10:$B$13</f>
              <numCache>
                <formatCode>0</formatCode>
                <ptCount val="0"/>
              </numCache>
            </numRef>
          </val>
        </ser>
        <ser>
          <idx val="1"/>
          <order val="1"/>
          <tx>
            <v>Remaining Moves</v>
          </tx>
          <spPr>
            <a:ln>
              <a:prstDash val="solid"/>
            </a:ln>
          </spPr>
          <cat>
            <strRef>
              <f>'RewardsScore'!$A$10:$A$13</f>
              <strCache>
                <ptCount val="0"/>
              </strCache>
            </strRef>
          </cat>
          <val>
            <numRef>
              <f>'RewardsScore'!$C$10:$C$13</f>
              <numCache>
                <formatCode>0</formatCode>
                <ptCount val="0"/>
              </numCache>
            </numRef>
          </val>
        </ser>
        <ser>
          <idx val="2"/>
          <order val="2"/>
          <tx>
            <v>OverCost</v>
          </tx>
          <spPr>
            <a:ln>
              <a:prstDash val="solid"/>
            </a:ln>
          </spPr>
          <cat>
            <strRef>
              <f>'RewardsScore'!$A$10:$A$13</f>
              <strCache>
                <ptCount val="0"/>
              </strCache>
            </strRef>
          </cat>
          <val>
            <numRef>
              <f>'RewardsScore'!$D$10:$D$13</f>
              <numCache>
                <formatCode>0</formatCode>
                <ptCount val="0"/>
              </numCache>
            </numRef>
          </val>
        </ser>
        <ser>
          <idx val="3"/>
          <order val="3"/>
          <tx>
            <v>Turn Count</v>
          </tx>
          <spPr>
            <a:ln>
              <a:prstDash val="solid"/>
            </a:ln>
          </spPr>
          <cat>
            <strRef>
              <f>'RewardsScore'!$A$10:$A$13</f>
              <strCache>
                <ptCount val="0"/>
              </strCache>
            </strRef>
          </cat>
          <val>
            <numRef>
              <f>'RewardsScore'!$E$10:$E$13</f>
              <numCache>
                <formatCode>0</formatCode>
                <ptCount val="0"/>
              </numCache>
            </numRef>
          </val>
        </ser>
        <ser>
          <idx val="4"/>
          <order val="4"/>
          <tx>
            <v>Score</v>
          </tx>
          <spPr>
            <a:ln>
              <a:prstDash val="solid"/>
            </a:ln>
          </spPr>
          <cat>
            <strRef>
              <f>'RewardsScore'!$A$10:$A$13</f>
              <strCache>
                <ptCount val="0"/>
              </strCache>
            </strRef>
          </cat>
          <val>
            <numRef>
              <f>'RewardsScore'!$F$10:$F$13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0</colOff>
      <row>14</row>
      <rowOff>0</rowOff>
    </from>
    <to>
      <col>11</col>
      <colOff>0</colOff>
      <row>32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3</row>
      <rowOff>0</rowOff>
    </from>
    <to>
      <col>16</col>
      <colOff>0</colOff>
      <row>20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7</row>
      <rowOff>0</rowOff>
    </from>
    <to>
      <col>14</col>
      <colOff>0</colOff>
      <row>21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ileCostTable" displayName="TileCostTable" ref="A4:G16" headerRowCount="1">
  <autoFilter ref="A4:G16"/>
  <tableColumns count="7">
    <tableColumn id="1" name="Tier"/>
    <tableColumn id="2" name="Tile"/>
    <tableColumn id="3" name="Current Cost"/>
    <tableColumn id="4" name="Target Cost"/>
    <tableColumn id="5" name="Cost / Tile"/>
    <tableColumn id="6" name="Target Delta"/>
    <tableColumn id="7" name="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killBalanceTable" displayName="SkillBalanceTable" ref="A4:N46" headerRowCount="1">
  <autoFilter ref="A4:N46"/>
  <tableColumns count="14">
    <tableColumn id="1" name="Skill ID"/>
    <tableColumn id="2" name="Skill Name"/>
    <tableColumn id="3" name="Type"/>
    <tableColumn id="4" name="Effect Kind"/>
    <tableColumn id="5" name="Damage Stat"/>
    <tableColumn id="6" name="Availability"/>
    <tableColumn id="7" name="Cost"/>
    <tableColumn id="8" name="Power"/>
    <tableColumn id="9" name="Effective Power"/>
    <tableColumn id="10" name="Est Damage"/>
    <tableColumn id="11" name="Shield/Heal"/>
    <tableColumn id="12" name="Damage / Cost"/>
    <tableColumn id="13" name="Effect Summary"/>
    <tableColumn id="14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emyRosterTable" displayName="EnemyRosterTable" ref="A4:AA16" headerRowCount="1">
  <autoFilter ref="A4:AA16"/>
  <tableColumns count="27">
    <tableColumn id="1" name="Enemy"/>
    <tableColumn id="2" name="Encounter Rank"/>
    <tableColumn id="3" name="AI Strength"/>
    <tableColumn id="4" name="AI Bias"/>
    <tableColumn id="5" name="Debuff Pattern"/>
    <tableColumn id="6" name="Max HP"/>
    <tableColumn id="7" name="Attack Stat"/>
    <tableColumn id="8" name="Defense Stat"/>
    <tableColumn id="9" name="Defense Block"/>
    <tableColumn id="10" name="Debuff Power"/>
    <tableColumn id="11" name="Crit %"/>
    <tableColumn id="12" name="Crit Mult"/>
    <tableColumn id="13" name="Actions / Turn"/>
    <tableColumn id="14" name="Debuff Interval"/>
    <tableColumn id="15" name="Skill 1"/>
    <tableColumn id="16" name="Skill 2"/>
    <tableColumn id="17" name="Skill 3"/>
    <tableColumn id="18" name="Skill 4"/>
    <tableColumn id="19" name="Attack Chance"/>
    <tableColumn id="20" name="Defense Chance"/>
    <tableColumn id="21" name="Strength Mult"/>
    <tableColumn id="22" name="Eff Attack"/>
    <tableColumn id="23" name="Eff Block"/>
    <tableColumn id="24" name="Exp Atk / Turn"/>
    <tableColumn id="25" name="TTK Best Hit"/>
    <tableColumn id="26" name="Risk Score"/>
    <tableColumn id="2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batScenarioTable" displayName="CombatScenarioTable" ref="A4:Q24" headerRowCount="1">
  <autoFilter ref="A4:Q24"/>
  <tableColumns count="17">
    <tableColumn id="1" name="Stage"/>
    <tableColumn id="2" name="Enemy"/>
    <tableColumn id="3" name="Planned Turns"/>
    <tableColumn id="4" name="Remaining Moves"/>
    <tableColumn id="5" name="OverCost"/>
    <tableColumn id="6" name="Main Attack Skill"/>
    <tableColumn id="7" name="Main Defense Skill"/>
    <tableColumn id="8" name="Enemy HP"/>
    <tableColumn id="9" name="Attack Damage"/>
    <tableColumn id="10" name="Hits Needed"/>
    <tableColumn id="11" name="Enemy Exp Atk"/>
    <tableColumn id="12" name="Block / Turn"/>
    <tableColumn id="13" name="Expected Net Damage"/>
    <tableColumn id="14" name="HP Risk"/>
    <tableColumn id="15" name="Score"/>
    <tableColumn id="16" name="Status"/>
    <tableColumn id="17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wardTable" displayName="RewardTable" ref="A4:Q26" headerRowCount="1">
  <autoFilter ref="A4:Q26"/>
  <tableColumns count="17">
    <tableColumn id="1" name="Reward ID"/>
    <tableColumn id="2" name="Display Name"/>
    <tableColumn id="3" name="Kind"/>
    <tableColumn id="4" name="Skill Learned"/>
    <tableColumn id="5" name="Heal % Max HP"/>
    <tableColumn id="6" name="Heal Amount"/>
    <tableColumn id="7" name="Extra Move"/>
    <tableColumn id="8" name="Temp Atk"/>
    <tableColumn id="9" name="Temp Def"/>
    <tableColumn id="10" name="Temp Move"/>
    <tableColumn id="11" name="Permanent HP"/>
    <tableColumn id="12" name="Permanent Atk"/>
    <tableColumn id="13" name="Permanent Def"/>
    <tableColumn id="14" name="Crit Chance Bonus"/>
    <tableColumn id="15" name="Crit Damage Bonus"/>
    <tableColumn id="16" name="Enemy Skill Offer %"/>
    <tableColumn id="17" name="Encounter Tex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coreScenarioTable" displayName="ScoreScenarioTable" ref="A29:F33" headerRowCount="1">
  <autoFilter ref="A29:F33"/>
  <tableColumns count="6">
    <tableColumn id="1" name="Scenario"/>
    <tableColumn id="2" name="Difficulty"/>
    <tableColumn id="3" name="Remaining Moves"/>
    <tableColumn id="4" name="OverCost"/>
    <tableColumn id="5" name="Turn Count"/>
    <tableColumn id="6" name="Sco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evelopmentHandoffTable" displayName="DevelopmentHandoffTable" ref="A4:F10" headerRowCount="1">
  <autoFilter ref="A4:F10"/>
  <tableColumns count="6">
    <tableColumn id="1" name="튜닝 항목"/>
    <tableColumn id="2" name="참조 시트"/>
    <tableColumn id="3" name="요청 값/범위"/>
    <tableColumn id="4" name="기획 의도"/>
    <tableColumn id="5" name="우선순위"/>
    <tableColumn id="6" name="개발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18.84000015258789" customWidth="1" min="1" max="1"/>
    <col width="15.47999954223633" customWidth="1" min="2" max="2"/>
    <col width="4.039999961853027" customWidth="1" min="3" max="3"/>
    <col width="18.84000015258789" customWidth="1" min="4" max="4"/>
    <col width="15.47999954223633" customWidth="1" min="5" max="5"/>
    <col width="4.039999961853027" customWidth="1" min="6" max="6"/>
    <col width="18.84000015258789" customWidth="1" min="7" max="7"/>
    <col width="15.47999954223633" customWidth="1" min="8" max="8"/>
    <col width="4.039999961853027" customWidth="1" min="9" max="9"/>
    <col width="18.17000007629395" customWidth="1" min="10" max="10"/>
    <col width="15.47999954223633" customWidth="1" min="11" max="11"/>
  </cols>
  <sheetData>
    <row r="1" ht="25.5" customHeight="1">
      <c r="A1" s="61" t="inlineStr">
        <is>
          <t>Project 2048 밸런싱 대시보드</t>
        </is>
      </c>
    </row>
    <row r="2" ht="19.5" customHeight="1">
      <c r="A2" s="41" t="inlineStr">
        <is>
          <t>전투/스킬/적/보상 핵심 지표를 현재 에셋 기준으로 확인합니다.</t>
        </is>
      </c>
      <c r="I2" s="51" t="n"/>
      <c r="J2" s="51" t="n"/>
      <c r="K2" s="51" t="n"/>
    </row>
    <row r="3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</row>
    <row r="4">
      <c r="A4" s="43" t="inlineStr">
        <is>
          <t>활성 시나리오</t>
        </is>
      </c>
      <c r="C4" s="51" t="n"/>
      <c r="D4" s="44" t="inlineStr">
        <is>
          <t>플레이어</t>
        </is>
      </c>
      <c r="F4" s="51" t="n"/>
      <c r="G4" s="43" t="inlineStr">
        <is>
          <t>로스터 요약</t>
        </is>
      </c>
      <c r="I4" s="51" t="n"/>
      <c r="J4" s="51" t="n"/>
      <c r="K4" s="51" t="n"/>
    </row>
    <row r="5">
      <c r="A5" s="45" t="inlineStr">
        <is>
          <t>Stage 선택</t>
        </is>
      </c>
      <c r="B5" s="46" t="n">
        <v>1</v>
      </c>
      <c r="C5" s="51" t="n"/>
      <c r="D5" s="45" t="inlineStr">
        <is>
          <t>Max HP</t>
        </is>
      </c>
      <c r="E5" s="62">
        <f>Inputs!$B$4</f>
        <v/>
      </c>
      <c r="F5" s="51" t="n"/>
      <c r="G5" s="45" t="inlineStr">
        <is>
          <t>Enemy Count</t>
        </is>
      </c>
      <c r="H5" s="62">
        <f>COUNTA(Enemies!$A$5:$A$16)</f>
        <v/>
      </c>
      <c r="I5" s="51" t="n"/>
      <c r="J5" s="51" t="n"/>
      <c r="K5" s="51" t="n"/>
    </row>
    <row r="6">
      <c r="A6" s="45" t="inlineStr">
        <is>
          <t>Enemy</t>
        </is>
      </c>
      <c r="B6" s="45">
        <f>INDEX(CombatSim!$B$5:$B$24,MATCH($B$5,CombatSim!$A$5:$A$24,0))</f>
        <v/>
      </c>
      <c r="C6" s="51" t="n"/>
      <c r="D6" s="45" t="inlineStr">
        <is>
          <t>Attack Power</t>
        </is>
      </c>
      <c r="E6" s="62">
        <f>Inputs!$B$5</f>
        <v/>
      </c>
      <c r="F6" s="51" t="n"/>
      <c r="G6" s="45" t="inlineStr">
        <is>
          <t>Avg Risk Score</t>
        </is>
      </c>
      <c r="H6" s="62">
        <f>AVERAGE(Enemies!$Z$5:$Z$16)</f>
        <v/>
      </c>
      <c r="I6" s="51" t="n"/>
      <c r="J6" s="51" t="n"/>
      <c r="K6" s="51" t="n"/>
    </row>
    <row r="7">
      <c r="A7" s="45" t="inlineStr">
        <is>
          <t>Status</t>
        </is>
      </c>
      <c r="B7" s="45">
        <f>INDEX(CombatSim!$P$5:$P$24,MATCH($B$5,CombatSim!$A$5:$A$24,0))</f>
        <v/>
      </c>
      <c r="C7" s="51" t="n"/>
      <c r="D7" s="45" t="inlineStr">
        <is>
          <t>Board Moves</t>
        </is>
      </c>
      <c r="E7" s="62">
        <f>Inputs!$B$26</f>
        <v/>
      </c>
      <c r="F7" s="51" t="n"/>
      <c r="G7" s="45" t="inlineStr">
        <is>
          <t>Max Risk Score</t>
        </is>
      </c>
      <c r="H7" s="62">
        <f>MAX(Enemies!$Z$5:$Z$16)</f>
        <v/>
      </c>
      <c r="I7" s="51" t="n"/>
      <c r="J7" s="51" t="n"/>
      <c r="K7" s="51" t="n"/>
    </row>
    <row r="8">
      <c r="A8" s="45" t="inlineStr">
        <is>
          <t>Score</t>
        </is>
      </c>
      <c r="B8" s="63">
        <f>INDEX(CombatSim!$O$5:$O$24,MATCH($B$5,CombatSim!$A$5:$A$24,0))</f>
        <v/>
      </c>
      <c r="C8" s="51" t="n"/>
      <c r="D8" s="45" t="inlineStr">
        <is>
          <t>Expected Turn Cost</t>
        </is>
      </c>
      <c r="E8" s="62">
        <f>Inputs!$B$27</f>
        <v/>
      </c>
      <c r="F8" s="51" t="n"/>
      <c r="G8" s="45" t="inlineStr">
        <is>
          <t>Avg TTK Best Hit</t>
        </is>
      </c>
      <c r="H8" s="62">
        <f>AVERAGE(Enemies!$Y$5:$Y$16)</f>
        <v/>
      </c>
      <c r="I8" s="51" t="n"/>
      <c r="J8" s="51" t="n"/>
      <c r="K8" s="51" t="n"/>
    </row>
    <row r="9">
      <c r="A9" s="45" t="inlineStr">
        <is>
          <t>HP Risk</t>
        </is>
      </c>
      <c r="B9" s="64">
        <f>INDEX(CombatSim!$N$5:$N$24,MATCH($B$5,CombatSim!$A$5:$A$24,0))</f>
        <v/>
      </c>
      <c r="C9" s="51" t="n"/>
      <c r="D9" s="45" t="inlineStr">
        <is>
          <t>Best Attack Skill</t>
        </is>
      </c>
      <c r="E9" s="45">
        <f>INDEX(Skills!$B$5:$B$46,MATCH(MAX(Skills!$J$5:$J$46),Skills!$J$5:$J$46,0))</f>
        <v/>
      </c>
      <c r="F9" s="51" t="n"/>
      <c r="G9" s="45" t="inlineStr">
        <is>
          <t>Enhanced Count</t>
        </is>
      </c>
      <c r="H9" s="62">
        <f>COUNTIF(Enemies!$C$5:$C$16,"Enhanced")</f>
        <v/>
      </c>
      <c r="I9" s="51" t="n"/>
      <c r="J9" s="51" t="n"/>
      <c r="K9" s="51" t="n"/>
    </row>
    <row r="10">
      <c r="A10" s="45" t="inlineStr">
        <is>
          <t>Planned Turns</t>
        </is>
      </c>
      <c r="B10" s="62">
        <f>INDEX(CombatSim!$C$5:$C$24,MATCH($B$5,CombatSim!$A$5:$A$24,0))</f>
        <v/>
      </c>
      <c r="C10" s="51" t="n"/>
      <c r="D10" s="45" t="inlineStr">
        <is>
          <t>Best Attack Damage</t>
        </is>
      </c>
      <c r="E10" s="62">
        <f>MAX(Skills!$J$5:$J$46)</f>
        <v/>
      </c>
      <c r="F10" s="51" t="n"/>
      <c r="G10" s="45" t="inlineStr">
        <is>
          <t>AttackHeavy Count</t>
        </is>
      </c>
      <c r="H10" s="62">
        <f>COUNTIF(Enemies!$D$5:$D$16,"AttackHeavy")</f>
        <v/>
      </c>
      <c r="I10" s="51" t="n"/>
      <c r="J10" s="51" t="n"/>
      <c r="K10" s="51" t="n"/>
    </row>
    <row r="11">
      <c r="A11" s="45" t="inlineStr">
        <is>
          <t>Hits Needed</t>
        </is>
      </c>
      <c r="B11" s="62">
        <f>INDEX(CombatSim!$J$5:$J$24,MATCH($B$5,CombatSim!$A$5:$A$24,0))</f>
        <v/>
      </c>
      <c r="C11" s="51" t="n"/>
      <c r="D11" s="45" t="inlineStr">
        <is>
          <t>Best Defense Skill</t>
        </is>
      </c>
      <c r="E11" s="62">
        <f>INDEX(Skills!$B$5:$B$10,MATCH(MAX(Skills!$I$5:$I$10),Skills!$I$5:$I$10,0))</f>
        <v/>
      </c>
      <c r="F11" s="51" t="n"/>
      <c r="G11" s="45" t="inlineStr">
        <is>
          <t>DefenseHeavy Count</t>
        </is>
      </c>
      <c r="H11" s="62">
        <f>COUNTIF(Enemies!$C$5:$C$16,"DefenseHeavy")</f>
        <v/>
      </c>
      <c r="I11" s="51" t="n"/>
      <c r="J11" s="51" t="n"/>
      <c r="K11" s="51" t="n"/>
    </row>
    <row r="12">
      <c r="A12" s="45" t="inlineStr">
        <is>
          <t>소스 갱신 기준</t>
        </is>
      </c>
      <c r="B12" s="62" t="inlineStr">
        <is>
          <t>SkillSO 41개 / EnemySO 12개 / PrototypePlayer.asset / CostConverter.cs / RewardTableSO</t>
        </is>
      </c>
      <c r="C12" s="51" t="n"/>
      <c r="D12" s="45" t="inlineStr">
        <is>
          <t>Best Defense Block</t>
        </is>
      </c>
      <c r="E12" s="62">
        <f>MAX(Skills!$I$5:$I$10)</f>
        <v/>
      </c>
      <c r="F12" s="51" t="n"/>
      <c r="G12" s="45" t="inlineStr">
        <is>
          <t>Balanced Count</t>
        </is>
      </c>
      <c r="H12" s="62">
        <f>COUNTIF(Enemies!$C$5:$C$16,"Balanced")</f>
        <v/>
      </c>
      <c r="I12" s="51" t="n"/>
      <c r="J12" s="51" t="n"/>
      <c r="K12" s="51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</row>
    <row r="15">
      <c r="A15" s="44" t="inlineStr">
        <is>
          <t>차트 데이터</t>
        </is>
      </c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</row>
    <row r="16">
      <c r="A16" s="50" t="inlineStr">
        <is>
          <t>Enemy</t>
        </is>
      </c>
      <c r="B16" s="50" t="inlineStr">
        <is>
          <t>Risk Score</t>
        </is>
      </c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</row>
    <row r="17">
      <c r="A17" s="45" t="inlineStr">
        <is>
          <t>붉은 송곳니</t>
        </is>
      </c>
      <c r="B17" s="62">
        <f>INDEX(Enemies!$W$5:$W$16,MATCH($A17,Enemies!$A$5:$A$16,0))</f>
        <v/>
      </c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</row>
    <row r="18">
      <c r="A18" s="45" t="inlineStr">
        <is>
          <t>검은 송곳니</t>
        </is>
      </c>
      <c r="B18" s="62">
        <f>INDEX(Enemies!$W$5:$W$16,MATCH($A18,Enemies!$A$5:$A$16,0))</f>
        <v/>
      </c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</row>
    <row r="19">
      <c r="A19" s="45" t="inlineStr">
        <is>
          <t>공포 파수꾼</t>
        </is>
      </c>
      <c r="B19" s="62">
        <f>INDEX(Enemies!$W$5:$W$16,MATCH($A19,Enemies!$A$5:$A$16,0))</f>
        <v/>
      </c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</row>
    <row r="20">
      <c r="A20" s="45" t="inlineStr">
        <is>
          <t>암흑 파수꾼</t>
        </is>
      </c>
      <c r="B20" s="62">
        <f>INDEX(Enemies!$W$5:$W$16,MATCH($A20,Enemies!$A$5:$A$16,0))</f>
        <v/>
      </c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</row>
    <row r="21">
      <c r="A21" s="45" t="inlineStr">
        <is>
          <t>황혼 추적자</t>
        </is>
      </c>
      <c r="B21" s="62">
        <f>INDEX(Enemies!$W$5:$W$16,MATCH($A21,Enemies!$A$5:$A$16,0))</f>
        <v/>
      </c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</row>
    <row r="22">
      <c r="A22" s="45" t="inlineStr">
        <is>
          <t>그림자 추적자</t>
        </is>
      </c>
      <c r="B22" s="62">
        <f>INDEX(Enemies!$W$5:$W$16,MATCH($A22,Enemies!$A$5:$A$16,0))</f>
        <v/>
      </c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</row>
    <row r="23">
      <c r="A23" s="45" t="inlineStr">
        <is>
          <t>분노의 발톱</t>
        </is>
      </c>
      <c r="B23" s="62">
        <f>INDEX(Enemies!$W$5:$W$16,MATCH($A23,Enemies!$A$5:$A$16,0))</f>
        <v/>
      </c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</row>
    <row r="24">
      <c r="A24" s="45" t="inlineStr">
        <is>
          <t>칠흑 방패</t>
        </is>
      </c>
      <c r="B24" s="62">
        <f>INDEX(Enemies!$W$5:$W$16,MATCH($A24,Enemies!$A$5:$A$16,0))</f>
        <v/>
      </c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</row>
    <row r="25">
      <c r="A25" s="45" t="inlineStr">
        <is>
          <t>강화 붉은 송곳니</t>
        </is>
      </c>
      <c r="B25" s="62">
        <f>INDEX(Enemies!$W$5:$W$16,MATCH($A25,Enemies!$A$5:$A$16,0))</f>
        <v/>
      </c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</row>
    <row r="26">
      <c r="A26" s="45" t="inlineStr">
        <is>
          <t>강화 검은 송곳니</t>
        </is>
      </c>
      <c r="B26" s="62">
        <f>INDEX(Enemies!$W$5:$W$16,MATCH($A26,Enemies!$A$5:$A$16,0))</f>
        <v/>
      </c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</row>
    <row r="27">
      <c r="A27" s="45" t="inlineStr">
        <is>
          <t>강화 공포 파수꾼</t>
        </is>
      </c>
      <c r="B27" s="62">
        <f>INDEX(Enemies!$W$5:$W$16,MATCH($A27,Enemies!$A$5:$A$16,0))</f>
        <v/>
      </c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</row>
    <row r="28">
      <c r="A28" s="45" t="inlineStr">
        <is>
          <t>강화 그림자 추적자</t>
        </is>
      </c>
      <c r="B28" s="62">
        <f>INDEX(Enemies!$W$5:$W$16,MATCH($A28,Enemies!$A$5:$A$16,0))</f>
        <v/>
      </c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</row>
  </sheetData>
  <mergeCells count="6">
    <mergeCell ref="A4:B4"/>
    <mergeCell ref="G4:H4"/>
    <mergeCell ref="A15:B15"/>
    <mergeCell ref="A2:H2"/>
    <mergeCell ref="D4:E4"/>
    <mergeCell ref="A1:K1"/>
  </mergeCells>
  <conditionalFormatting sqref="B7">
    <cfRule type="containsText" priority="1" operator="containsText" dxfId="1" text="OK"/>
    <cfRule type="containsText" priority="2" operator="containsText" dxfId="0" text="주의"/>
    <cfRule type="containsText" priority="3" operator="containsText" dxfId="3" text="위험"/>
    <cfRule type="containsText" priority="4" operator="containsText" dxfId="3" text="공격 부족"/>
  </conditionalFormatting>
  <dataValidations count="1">
    <dataValidation sqref="B5" showDropDown="0" showInputMessage="0" showErrorMessage="0" allowBlank="0" type="whole" operator="between">
      <formula1>1</formula1>
      <formula2>20</formula2>
    </dataValidation>
  </dataValidations>
  <pageMargins left="0.7" right="0.7" top="0.75" bottom="0.75" header="0.3" footer="0.3"/>
  <drawing ns1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2" customWidth="1" min="3" max="3"/>
    <col width="72" customWidth="1" min="4" max="4"/>
    <col width="15.47999954223633" customWidth="1" min="5" max="5"/>
    <col width="16" customWidth="1" min="6" max="6"/>
    <col width="24" customWidth="1" min="7" max="7"/>
    <col width="58" customWidth="1" min="8" max="8"/>
  </cols>
  <sheetData>
    <row r="1" ht="25.5" customHeight="1">
      <c r="A1" s="65" t="inlineStr">
        <is>
          <t>Project 2048 밸런싱 기본값</t>
        </is>
      </c>
      <c r="G1" s="51" t="n"/>
      <c r="H1" s="51" t="n"/>
    </row>
    <row r="2" ht="19.5" customHeight="1">
      <c r="A2" s="66" t="inlineStr">
        <is>
          <t>현재 ScriptableObject와 BattleScene 값을 기준으로 갱신했습니다.</t>
        </is>
      </c>
    </row>
    <row r="3">
      <c r="A3" s="67" t="inlineStr">
        <is>
          <t>항목</t>
        </is>
      </c>
      <c r="B3" s="67" t="inlineStr">
        <is>
          <t>값</t>
        </is>
      </c>
      <c r="C3" s="67" t="inlineStr">
        <is>
          <t>단위</t>
        </is>
      </c>
      <c r="D3" s="67" t="inlineStr">
        <is>
          <t>설명</t>
        </is>
      </c>
      <c r="E3" s="51" t="n"/>
      <c r="F3" s="85" t="inlineStr">
        <is>
          <t>Rank Delta</t>
        </is>
      </c>
      <c r="G3" s="85" t="inlineStr">
        <is>
          <t>Attack/Defense Multiplier</t>
        </is>
      </c>
      <c r="H3" s="85" t="inlineStr">
        <is>
          <t>Runtime formula / note</t>
        </is>
      </c>
    </row>
    <row r="4">
      <c r="A4" s="45" t="inlineStr">
        <is>
          <t>Player Max HP</t>
        </is>
      </c>
      <c r="B4" s="68" t="n">
        <v>240</v>
      </c>
      <c r="C4" s="45" t="inlineStr">
        <is>
          <t>HP</t>
        </is>
      </c>
      <c r="D4" s="45" t="inlineStr">
        <is>
          <t>Assets/Data/PrototypePlayer.asset maxHp</t>
        </is>
      </c>
      <c r="E4" s="51" t="n"/>
      <c r="F4" s="51" t="inlineStr">
        <is>
          <t>-6</t>
        </is>
      </c>
      <c r="G4" s="86" t="n">
        <v>0.25</v>
      </c>
      <c r="H4" s="82" t="inlineStr">
        <is>
          <t>Rank -6 =&gt; x0.25; formula 2/(2-rank)</t>
        </is>
      </c>
    </row>
    <row r="5">
      <c r="A5" s="45" t="inlineStr">
        <is>
          <t>Player Attack Power</t>
        </is>
      </c>
      <c r="B5" s="68" t="n">
        <v>10</v>
      </c>
      <c r="C5" s="45" t="inlineStr">
        <is>
          <t>stat</t>
        </is>
      </c>
      <c r="D5" s="45" t="inlineStr">
        <is>
          <t>DamageCalculator의 attackPower 입력</t>
        </is>
      </c>
      <c r="E5" s="51" t="n"/>
      <c r="F5" s="51" t="inlineStr">
        <is>
          <t>-5</t>
        </is>
      </c>
      <c r="G5" s="86" t="n">
        <v>0.2857142857142857</v>
      </c>
      <c r="H5" s="82" t="inlineStr">
        <is>
          <t>Rank -5 =&gt; x0.29; formula 2/(2-rank)</t>
        </is>
      </c>
    </row>
    <row r="6">
      <c r="A6" s="45" t="inlineStr">
        <is>
          <t>Initial Board Moves</t>
        </is>
      </c>
      <c r="B6" s="68" t="n">
        <v>12</v>
      </c>
      <c r="C6" s="45" t="inlineStr">
        <is>
          <t>moves</t>
        </is>
      </c>
      <c r="D6" s="45" t="inlineStr">
        <is>
          <t>BattleScene StageFlowController.boardMoveCount 기준</t>
        </is>
      </c>
      <c r="E6" s="51" t="n"/>
      <c r="F6" s="51" t="inlineStr">
        <is>
          <t>-4</t>
        </is>
      </c>
      <c r="G6" s="86" t="n">
        <v>0.3333333333333333</v>
      </c>
      <c r="H6" s="82" t="inlineStr">
        <is>
          <t>Rank -4 =&gt; x0.33; formula 2/(2-rank)</t>
        </is>
      </c>
    </row>
    <row r="7">
      <c r="A7" s="45" t="inlineStr">
        <is>
          <t>Board Move Bonus</t>
        </is>
      </c>
      <c r="B7" s="68" t="n">
        <v>0</v>
      </c>
      <c r="C7" s="45" t="inlineStr">
        <is>
          <t>moves</t>
        </is>
      </c>
      <c r="D7" s="45" t="inlineStr">
        <is>
          <t>PlayerSO.boardMoveCountBonus</t>
        </is>
      </c>
      <c r="E7" s="51" t="n"/>
      <c r="F7" s="51" t="inlineStr">
        <is>
          <t>-3</t>
        </is>
      </c>
      <c r="G7" s="86" t="n">
        <v>0.4</v>
      </c>
      <c r="H7" s="82" t="inlineStr">
        <is>
          <t>Rank -3 =&gt; x0.4; formula 2/(2-rank)</t>
        </is>
      </c>
    </row>
    <row r="8">
      <c r="A8" s="45" t="inlineStr">
        <is>
          <t>Expected Cost per Move</t>
        </is>
      </c>
      <c r="B8" s="68" t="n">
        <v>3</v>
      </c>
      <c r="C8" s="45" t="inlineStr">
        <is>
          <t>cost</t>
        </is>
      </c>
      <c r="D8" s="45" t="inlineStr">
        <is>
          <t>ConvertTileToCost(2)=3을 기준으로 둔 시뮬 가정값</t>
        </is>
      </c>
      <c r="E8" s="51" t="n"/>
      <c r="F8" s="51" t="inlineStr">
        <is>
          <t>-2</t>
        </is>
      </c>
      <c r="G8" s="86" t="n">
        <v>0.5</v>
      </c>
      <c r="H8" s="82" t="inlineStr">
        <is>
          <t>Rank -2 =&gt; x0.5; formula 2/(2-rank)</t>
        </is>
      </c>
    </row>
    <row r="9">
      <c r="A9" s="45" t="inlineStr">
        <is>
          <t>Current Shield Baseline</t>
        </is>
      </c>
      <c r="B9" s="68" t="n">
        <v>0</v>
      </c>
      <c r="C9" s="45" t="inlineStr">
        <is>
          <t>shield</t>
        </is>
      </c>
      <c r="D9" s="45" t="inlineStr">
        <is>
          <t>방어/보호막 연계 스킬 계산용 시작 보호막</t>
        </is>
      </c>
      <c r="E9" s="51" t="n"/>
      <c r="F9" s="51" t="inlineStr">
        <is>
          <t>-1</t>
        </is>
      </c>
      <c r="G9" s="86" t="n">
        <v>0.6666666666666666</v>
      </c>
      <c r="H9" s="82" t="inlineStr">
        <is>
          <t>Rank -1 =&gt; x0.67; formula 2/(2-rank)</t>
        </is>
      </c>
    </row>
    <row r="10">
      <c r="A10" s="45" t="inlineStr">
        <is>
          <t>Fear Attack Stage Penalty</t>
        </is>
      </c>
      <c r="B10" s="68" t="n">
        <v>1</v>
      </c>
      <c r="C10" s="45" t="inlineStr">
        <is>
          <t>stage</t>
        </is>
      </c>
      <c r="D10" s="45" t="inlineStr">
        <is>
          <t>PlayerCombatController.FearDefenseGainPenalty 현재 값</t>
        </is>
      </c>
      <c r="E10" s="51" t="n"/>
      <c r="F10" s="51" t="inlineStr">
        <is>
          <t>0</t>
        </is>
      </c>
      <c r="G10" s="86" t="n">
        <v>1</v>
      </c>
      <c r="H10" s="82" t="inlineStr">
        <is>
          <t>Rank 0 =&gt; x1; formula (2+rank)/2</t>
        </is>
      </c>
    </row>
    <row r="11">
      <c r="A11" s="45" t="inlineStr"/>
      <c r="B11" s="68" t="inlineStr"/>
      <c r="C11" s="45" t="inlineStr"/>
      <c r="D11" s="45" t="inlineStr"/>
      <c r="E11" s="51" t="n"/>
      <c r="F11" s="51" t="inlineStr">
        <is>
          <t>+1</t>
        </is>
      </c>
      <c r="G11" s="86" t="n">
        <v>1.5</v>
      </c>
      <c r="H11" s="82" t="inlineStr">
        <is>
          <t>Rank +1 =&gt; x1.5; formula (2+rank)/2</t>
        </is>
      </c>
    </row>
    <row r="12">
      <c r="A12" s="45" t="inlineStr">
        <is>
          <t>Score Difficulty Multiplier</t>
        </is>
      </c>
      <c r="B12" s="68" t="n">
        <v>100</v>
      </c>
      <c r="C12" s="45" t="inlineStr">
        <is>
          <t>score</t>
        </is>
      </c>
      <c r="D12" s="45" t="inlineStr">
        <is>
          <t>스테이지 점수 난이도 계수</t>
        </is>
      </c>
      <c r="E12" s="51" t="n"/>
      <c r="F12" s="51" t="inlineStr">
        <is>
          <t>+2</t>
        </is>
      </c>
      <c r="G12" s="86" t="n">
        <v>2</v>
      </c>
      <c r="H12" s="82" t="inlineStr">
        <is>
          <t>Rank +2 =&gt; x2; formula (2+rank)/2</t>
        </is>
      </c>
    </row>
    <row r="13">
      <c r="A13" s="45" t="inlineStr">
        <is>
          <t>Score Remaining Move Multiplier</t>
        </is>
      </c>
      <c r="B13" s="68" t="n">
        <v>20</v>
      </c>
      <c r="C13" s="45" t="inlineStr">
        <is>
          <t>score</t>
        </is>
      </c>
      <c r="D13" s="45" t="inlineStr">
        <is>
          <t>남은 보드 이동 횟수 점수 계수</t>
        </is>
      </c>
      <c r="E13" s="51" t="n"/>
      <c r="F13" s="51" t="inlineStr">
        <is>
          <t>+3</t>
        </is>
      </c>
      <c r="G13" s="86" t="n">
        <v>2.5</v>
      </c>
      <c r="H13" s="82" t="inlineStr">
        <is>
          <t>Rank +3 =&gt; x2.5; formula (2+rank)/2</t>
        </is>
      </c>
    </row>
    <row r="14">
      <c r="A14" s="45" t="inlineStr">
        <is>
          <t>Score OverCost Multiplier</t>
        </is>
      </c>
      <c r="B14" s="68" t="n">
        <v>5</v>
      </c>
      <c r="C14" s="45" t="inlineStr">
        <is>
          <t>score</t>
        </is>
      </c>
      <c r="D14" s="45" t="inlineStr">
        <is>
          <t>남는 코스트 점수 계수</t>
        </is>
      </c>
      <c r="E14" s="51" t="n"/>
      <c r="F14" s="51" t="inlineStr">
        <is>
          <t>+4</t>
        </is>
      </c>
      <c r="G14" s="86" t="n">
        <v>3</v>
      </c>
      <c r="H14" s="82" t="inlineStr">
        <is>
          <t>Rank +4 =&gt; x3; formula (2+rank)/2</t>
        </is>
      </c>
    </row>
    <row r="15">
      <c r="A15" s="45" t="inlineStr">
        <is>
          <t>Score Turn Penalty</t>
        </is>
      </c>
      <c r="B15" s="68" t="n">
        <v>10</v>
      </c>
      <c r="C15" s="45" t="inlineStr">
        <is>
          <t>score</t>
        </is>
      </c>
      <c r="D15" s="45" t="inlineStr">
        <is>
          <t>전투 턴 수마다 차감</t>
        </is>
      </c>
      <c r="E15" s="51" t="n"/>
      <c r="F15" s="51" t="inlineStr">
        <is>
          <t>+5</t>
        </is>
      </c>
      <c r="G15" s="86" t="n">
        <v>3.5</v>
      </c>
      <c r="H15" s="82" t="inlineStr">
        <is>
          <t>Rank +5 =&gt; x3.5; formula (2+rank)/2</t>
        </is>
      </c>
    </row>
    <row r="16">
      <c r="A16" s="45" t="inlineStr">
        <is>
          <t>Minimum Stage Score</t>
        </is>
      </c>
      <c r="B16" s="68" t="n">
        <v>0</v>
      </c>
      <c r="C16" s="45" t="inlineStr">
        <is>
          <t>score</t>
        </is>
      </c>
      <c r="D16" s="45" t="inlineStr">
        <is>
          <t>스테이지 점수 하한</t>
        </is>
      </c>
      <c r="E16" s="51" t="n"/>
      <c r="F16" s="51" t="inlineStr">
        <is>
          <t>+6</t>
        </is>
      </c>
      <c r="G16" s="86" t="n">
        <v>4</v>
      </c>
      <c r="H16" s="82" t="inlineStr">
        <is>
          <t>Rank +6 =&gt; x4; formula (2+rank)/2</t>
        </is>
      </c>
    </row>
    <row r="17">
      <c r="A17" s="45" t="inlineStr"/>
      <c r="B17" s="68" t="inlineStr"/>
      <c r="C17" s="45" t="inlineStr"/>
      <c r="D17" s="45" t="inlineStr"/>
      <c r="E17" s="51" t="n"/>
      <c r="F17" s="51" t="n"/>
      <c r="G17" s="51" t="n"/>
      <c r="H17" s="51" t="n"/>
    </row>
    <row r="18">
      <c r="A18" s="45" t="inlineStr">
        <is>
          <t>Enhanced Strength Multiplier</t>
        </is>
      </c>
      <c r="B18" s="68" t="n">
        <v>1.5</v>
      </c>
      <c r="C18" s="45" t="inlineStr">
        <is>
          <t>x</t>
        </is>
      </c>
      <c r="D18" s="45" t="inlineStr">
        <is>
          <t>EnemyAiStrength.Enhanced 스킬/기본 행동 보정</t>
        </is>
      </c>
      <c r="E18" s="51" t="n"/>
      <c r="F18" s="82" t="inlineStr">
        <is>
          <t>Critical Rank</t>
        </is>
      </c>
      <c r="G18" s="82" t="inlineStr">
        <is>
          <t>+20%p per rank</t>
        </is>
      </c>
      <c r="H18" s="82" t="inlineStr">
        <is>
          <t>CriticalChance = baseCriticalChance + rank*0.2, clamped 0..1; rank range 0..4.</t>
        </is>
      </c>
    </row>
    <row r="19">
      <c r="A19" s="45" t="inlineStr">
        <is>
          <t>Balanced Attack Weight</t>
        </is>
      </c>
      <c r="B19" s="68" t="n">
        <v>50</v>
      </c>
      <c r="C19" s="45" t="inlineStr">
        <is>
          <t>weight</t>
        </is>
      </c>
      <c r="D19" s="45" t="inlineStr">
        <is>
          <t>EnemyAiActionBias.Balanced</t>
        </is>
      </c>
      <c r="E19" s="51" t="n"/>
      <c r="F19" s="51" t="n"/>
      <c r="G19" s="51" t="n"/>
      <c r="H19" s="51" t="n"/>
    </row>
    <row r="20">
      <c r="A20" s="45" t="inlineStr">
        <is>
          <t>Balanced Defense Weight</t>
        </is>
      </c>
      <c r="B20" s="68" t="n">
        <v>50</v>
      </c>
      <c r="C20" s="45" t="inlineStr">
        <is>
          <t>weight</t>
        </is>
      </c>
      <c r="D20" s="45" t="inlineStr">
        <is>
          <t>EnemyAiActionBias.Balanced</t>
        </is>
      </c>
      <c r="E20" s="51" t="n"/>
      <c r="F20" s="51" t="n"/>
      <c r="G20" s="51" t="n"/>
      <c r="H20" s="51" t="n"/>
    </row>
    <row r="21">
      <c r="A21" s="45" t="inlineStr">
        <is>
          <t>AttackHeavy Attack Weight</t>
        </is>
      </c>
      <c r="B21" s="68" t="n">
        <v>80</v>
      </c>
      <c r="C21" s="45" t="inlineStr">
        <is>
          <t>weight</t>
        </is>
      </c>
      <c r="D21" s="45" t="inlineStr">
        <is>
          <t>EnemyAiActionBias.AttackHeavy</t>
        </is>
      </c>
      <c r="E21" s="51" t="n"/>
      <c r="F21" s="51" t="n"/>
      <c r="G21" s="51" t="n"/>
      <c r="H21" s="51" t="n"/>
    </row>
    <row r="22">
      <c r="A22" s="45" t="inlineStr">
        <is>
          <t>AttackHeavy Defense Weight</t>
        </is>
      </c>
      <c r="B22" s="68" t="n">
        <v>20</v>
      </c>
      <c r="C22" s="45" t="inlineStr">
        <is>
          <t>weight</t>
        </is>
      </c>
      <c r="D22" s="45" t="inlineStr">
        <is>
          <t>EnemyAiActionBias.AttackHeavy</t>
        </is>
      </c>
      <c r="E22" s="51" t="n"/>
      <c r="F22" s="51" t="n"/>
      <c r="G22" s="51" t="n"/>
      <c r="H22" s="51" t="n"/>
    </row>
    <row r="23">
      <c r="A23" s="45" t="inlineStr">
        <is>
          <t>DefenseHeavy Attack Weight</t>
        </is>
      </c>
      <c r="B23" s="68" t="n">
        <v>20</v>
      </c>
      <c r="C23" s="45" t="inlineStr">
        <is>
          <t>weight</t>
        </is>
      </c>
      <c r="D23" s="45" t="inlineStr">
        <is>
          <t>EnemyAiActionBias.DefenseHeavy</t>
        </is>
      </c>
      <c r="E23" s="51" t="n"/>
      <c r="F23" s="51" t="n"/>
      <c r="G23" s="51" t="n"/>
      <c r="H23" s="51" t="n"/>
    </row>
    <row r="24">
      <c r="A24" s="45" t="inlineStr">
        <is>
          <t>DefenseHeavy Defense Weight</t>
        </is>
      </c>
      <c r="B24" s="68" t="n">
        <v>80</v>
      </c>
      <c r="C24" s="45" t="inlineStr">
        <is>
          <t>weight</t>
        </is>
      </c>
      <c r="D24" s="45" t="inlineStr">
        <is>
          <t>EnemyAiActionBias.DefenseHeavy</t>
        </is>
      </c>
      <c r="E24" s="51" t="n"/>
      <c r="F24" s="51" t="n"/>
      <c r="G24" s="51" t="n"/>
      <c r="H24" s="51" t="n"/>
    </row>
    <row r="25">
      <c r="A25" s="45" t="inlineStr">
        <is>
          <t>Default Debuff Interval</t>
        </is>
      </c>
      <c r="B25" s="68" t="n">
        <v>3</v>
      </c>
      <c r="C25" s="45" t="inlineStr">
        <is>
          <t>turns</t>
        </is>
      </c>
      <c r="D25" s="45" t="inlineStr">
        <is>
          <t>기본 적 디버프 시도 주기</t>
        </is>
      </c>
      <c r="E25" s="51" t="n"/>
      <c r="F25" s="51" t="n"/>
      <c r="G25" s="51" t="n"/>
      <c r="H25" s="51" t="n"/>
    </row>
    <row r="26">
      <c r="A26" s="53" t="inlineStr">
        <is>
          <t>Total Board Moves</t>
        </is>
      </c>
      <c r="B26" s="69">
        <f>$B$6+$B$7</f>
        <v/>
      </c>
      <c r="C26" s="53" t="inlineStr">
        <is>
          <t>moves</t>
        </is>
      </c>
      <c r="D26" s="53" t="inlineStr">
        <is>
          <t>Initial Board Moves + Board Move Bonus</t>
        </is>
      </c>
      <c r="E26" s="51" t="n"/>
      <c r="F26" s="51" t="n"/>
      <c r="G26" s="51" t="n"/>
      <c r="H26" s="51" t="n"/>
    </row>
    <row r="27">
      <c r="A27" s="53" t="inlineStr">
        <is>
          <t>Expected Turn Cost</t>
        </is>
      </c>
      <c r="B27" s="69">
        <f>$B$26*$B$8</f>
        <v/>
      </c>
      <c r="C27" s="53" t="inlineStr">
        <is>
          <t>cost</t>
        </is>
      </c>
      <c r="D27" s="53" t="inlineStr">
        <is>
          <t>Total Board Moves * Expected Cost per Move</t>
        </is>
      </c>
      <c r="E27" s="51" t="n"/>
      <c r="F27" s="51" t="n"/>
      <c r="G27" s="51" t="n"/>
      <c r="H27" s="51" t="n"/>
    </row>
    <row r="29">
      <c r="A29" t="inlineStr">
        <is>
          <t>Player Base Defense Power</t>
        </is>
      </c>
      <c r="B29" t="n">
        <v>2</v>
      </c>
      <c r="C29" t="inlineStr">
        <is>
          <t>stat</t>
        </is>
      </c>
      <c r="D29" t="inlineStr">
        <is>
          <t>피해 계산에서 플레이어 방어 분모</t>
        </is>
      </c>
    </row>
    <row r="30">
      <c r="A30" t="inlineStr">
        <is>
          <t>Critical Chance</t>
        </is>
      </c>
      <c r="B30" t="n">
        <v>0.1</v>
      </c>
      <c r="C30" t="inlineStr">
        <is>
          <t>chance</t>
        </is>
      </c>
      <c r="D30" t="inlineStr">
        <is>
          <t>PlayerSO.criticalChance</t>
        </is>
      </c>
    </row>
    <row r="31">
      <c r="A31" t="inlineStr">
        <is>
          <t>Critical Damage Multiplier</t>
        </is>
      </c>
      <c r="B31" t="n">
        <v>1.5</v>
      </c>
      <c r="C31" t="inlineStr">
        <is>
          <t>x</t>
        </is>
      </c>
      <c r="D31" t="inlineStr">
        <is>
          <t>PlayerSO.criticalDamageMultiplier</t>
        </is>
      </c>
    </row>
    <row r="32">
      <c r="A32" t="inlineStr">
        <is>
          <t>Starting Skills</t>
        </is>
      </c>
      <c r="B32" t="inlineStr">
        <is>
          <t>빛 발사, 낮은 자세, 섬광</t>
        </is>
      </c>
      <c r="C32" t="inlineStr">
        <is>
          <t>skills</t>
        </is>
      </c>
      <c r="D32" t="inlineStr">
        <is>
          <t>PlayerSO.startingSkills</t>
        </is>
      </c>
    </row>
    <row r="33">
      <c r="A33" t="inlineStr">
        <is>
          <t>Sim Target Defense</t>
        </is>
      </c>
      <c r="B33" t="n">
        <v>1</v>
      </c>
      <c r="C33" t="inlineStr">
        <is>
          <t>stat</t>
        </is>
      </c>
      <c r="D33" t="inlineStr">
        <is>
          <t>스킬 예상 피해 계산용 기본 적 방어</t>
        </is>
      </c>
    </row>
    <row r="34">
      <c r="A34" t="inlineStr">
        <is>
          <t>Sim Shield Stat</t>
        </is>
      </c>
      <c r="B34" t="n">
        <v>30</v>
      </c>
      <c r="C34" t="inlineStr">
        <is>
          <t>shield</t>
        </is>
      </c>
      <c r="D34" t="inlineStr">
        <is>
          <t>ShieldHp 기반 공격 예상 피해용 보호막 가정</t>
        </is>
      </c>
    </row>
    <row r="35">
      <c r="A35" t="inlineStr">
        <is>
          <t>Damage Variance Average</t>
        </is>
      </c>
      <c r="B35" t="n">
        <v>0.925</v>
      </c>
      <c r="C35" t="inlineStr">
        <is>
          <t>x</t>
        </is>
      </c>
      <c r="D35" t="inlineStr">
        <is>
          <t>DamageCalculator 0.85~1.0 평균</t>
        </is>
      </c>
    </row>
    <row r="36">
      <c r="A36" t="inlineStr">
        <is>
          <t>Final Stage Index</t>
        </is>
      </c>
      <c r="B36" t="n">
        <v>20</v>
      </c>
      <c r="C36" t="inlineStr">
        <is>
          <t>stage</t>
        </is>
      </c>
      <c r="D36" t="inlineStr">
        <is>
          <t>BattleScene StageFlowController.finalStageIndex</t>
        </is>
      </c>
    </row>
    <row r="37">
      <c r="A37" t="inlineStr">
        <is>
          <t>Elite Interval</t>
        </is>
      </c>
      <c r="B37" t="n">
        <v>5</v>
      </c>
      <c r="C37" t="inlineStr">
        <is>
          <t>stage</t>
        </is>
      </c>
      <c r="D37" t="inlineStr">
        <is>
          <t>BattleScene StageFlowController.eliteInterval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8.75" customWidth="1" min="1" max="1"/>
    <col width="11.4399995803833" customWidth="1" min="2" max="2"/>
    <col width="14.13000011444092" customWidth="1" min="3" max="3"/>
    <col width="14.13000011444092" customWidth="1" min="4" max="4"/>
    <col width="15.47999954223633" customWidth="1" min="5" max="5"/>
    <col width="15.47999954223633" customWidth="1" min="6" max="6"/>
    <col width="32" customWidth="1" min="7" max="7"/>
    <col width="2.019999980926514" customWidth="1" min="8" max="8"/>
  </cols>
  <sheetData>
    <row r="1" ht="25.5" customHeight="1">
      <c r="A1" s="65" t="inlineStr">
        <is>
          <t>타일 코스트 곡선</t>
        </is>
      </c>
    </row>
    <row r="2" ht="19.5" customHeight="1">
      <c r="A2" s="66" t="inlineStr">
        <is>
          <t>현재 CostConverter.ConvertTileToCost log2 기반 단일 타일 코스트입니다.</t>
        </is>
      </c>
    </row>
    <row r="3">
      <c r="A3" s="51" t="n"/>
      <c r="B3" s="51" t="n"/>
      <c r="C3" s="51" t="n"/>
      <c r="D3" s="51" t="n"/>
      <c r="E3" s="51" t="n"/>
      <c r="F3" s="51" t="n"/>
      <c r="G3" s="51" t="n"/>
      <c r="H3" s="51" t="n"/>
    </row>
    <row r="4">
      <c r="A4" s="67" t="inlineStr">
        <is>
          <t>Tier</t>
        </is>
      </c>
      <c r="B4" s="67" t="inlineStr">
        <is>
          <t>Tile</t>
        </is>
      </c>
      <c r="C4" s="67" t="inlineStr">
        <is>
          <t>Current Cost</t>
        </is>
      </c>
      <c r="D4" s="67" t="inlineStr">
        <is>
          <t>Target Cost</t>
        </is>
      </c>
      <c r="E4" s="67" t="inlineStr">
        <is>
          <t>Cost / Tile</t>
        </is>
      </c>
      <c r="F4" s="67" t="inlineStr">
        <is>
          <t>Target Delta</t>
        </is>
      </c>
      <c r="G4" s="67" t="inlineStr">
        <is>
          <t>메모</t>
        </is>
      </c>
      <c r="H4" s="51" t="n"/>
    </row>
    <row r="5">
      <c r="A5" s="45" t="n">
        <v>1</v>
      </c>
      <c r="B5" s="63" t="n">
        <v>2</v>
      </c>
      <c r="C5" s="63" t="n">
        <v>3</v>
      </c>
      <c r="D5" s="70" t="n">
        <v>3</v>
      </c>
      <c r="E5" s="71">
        <f>IF($B5=0,"",$D5/$B5)</f>
        <v/>
      </c>
      <c r="F5" s="72">
        <f>$D5-$C5</f>
        <v/>
      </c>
      <c r="G5" s="45" t="inlineStr">
        <is>
          <t>log2(tile) * 3</t>
        </is>
      </c>
      <c r="H5" s="51" t="n"/>
    </row>
    <row r="6">
      <c r="A6" s="45" t="n">
        <v>2</v>
      </c>
      <c r="B6" s="63" t="n">
        <v>4</v>
      </c>
      <c r="C6" s="63" t="n">
        <v>6</v>
      </c>
      <c r="D6" s="70" t="n">
        <v>6</v>
      </c>
      <c r="E6" s="71">
        <f>IF($B6=0,"",$D6/$B6)</f>
        <v/>
      </c>
      <c r="F6" s="72">
        <f>$D6-$C6</f>
        <v/>
      </c>
      <c r="G6" s="45" t="inlineStr">
        <is>
          <t>log2(tile) * 3</t>
        </is>
      </c>
      <c r="H6" s="51" t="n"/>
    </row>
    <row r="7">
      <c r="A7" s="45" t="n">
        <v>3</v>
      </c>
      <c r="B7" s="63" t="n">
        <v>8</v>
      </c>
      <c r="C7" s="63" t="n">
        <v>9</v>
      </c>
      <c r="D7" s="70" t="n">
        <v>9</v>
      </c>
      <c r="E7" s="71">
        <f>IF($B7=0,"",$D7/$B7)</f>
        <v/>
      </c>
      <c r="F7" s="72">
        <f>$D7-$C7</f>
        <v/>
      </c>
      <c r="G7" s="45" t="inlineStr">
        <is>
          <t>log2(tile) * 3</t>
        </is>
      </c>
      <c r="H7" s="51" t="n"/>
    </row>
    <row r="8">
      <c r="A8" s="45" t="n">
        <v>4</v>
      </c>
      <c r="B8" s="63" t="n">
        <v>16</v>
      </c>
      <c r="C8" s="63" t="n">
        <v>12</v>
      </c>
      <c r="D8" s="70" t="n">
        <v>12</v>
      </c>
      <c r="E8" s="71">
        <f>IF($B8=0,"",$D8/$B8)</f>
        <v/>
      </c>
      <c r="F8" s="72">
        <f>$D8-$C8</f>
        <v/>
      </c>
      <c r="G8" s="45" t="inlineStr">
        <is>
          <t>log2(tile) * 3</t>
        </is>
      </c>
      <c r="H8" s="51" t="n"/>
    </row>
    <row r="9">
      <c r="A9" s="45" t="n">
        <v>5</v>
      </c>
      <c r="B9" s="63" t="n">
        <v>32</v>
      </c>
      <c r="C9" s="63" t="n">
        <v>15</v>
      </c>
      <c r="D9" s="70" t="n">
        <v>15</v>
      </c>
      <c r="E9" s="71">
        <f>IF($B9=0,"",$D9/$B9)</f>
        <v/>
      </c>
      <c r="F9" s="72">
        <f>$D9-$C9</f>
        <v/>
      </c>
      <c r="G9" s="45" t="inlineStr">
        <is>
          <t>log2(tile) * 3</t>
        </is>
      </c>
      <c r="H9" s="51" t="n"/>
    </row>
    <row r="10">
      <c r="A10" s="45" t="n">
        <v>6</v>
      </c>
      <c r="B10" s="63" t="n">
        <v>64</v>
      </c>
      <c r="C10" s="63" t="n">
        <v>18</v>
      </c>
      <c r="D10" s="70" t="n">
        <v>18</v>
      </c>
      <c r="E10" s="71">
        <f>IF($B10=0,"",$D10/$B10)</f>
        <v/>
      </c>
      <c r="F10" s="72">
        <f>$D10-$C10</f>
        <v/>
      </c>
      <c r="G10" s="45" t="inlineStr">
        <is>
          <t>log2(tile) * 3</t>
        </is>
      </c>
      <c r="H10" s="51" t="n"/>
    </row>
    <row r="11">
      <c r="A11" s="45" t="n">
        <v>7</v>
      </c>
      <c r="B11" s="63" t="n">
        <v>128</v>
      </c>
      <c r="C11" s="63" t="n">
        <v>21</v>
      </c>
      <c r="D11" s="70" t="n">
        <v>21</v>
      </c>
      <c r="E11" s="71">
        <f>IF($B11=0,"",$D11/$B11)</f>
        <v/>
      </c>
      <c r="F11" s="72">
        <f>$D11-$C11</f>
        <v/>
      </c>
      <c r="G11" s="45" t="inlineStr">
        <is>
          <t>log2(tile) * 3</t>
        </is>
      </c>
      <c r="H11" s="51" t="n"/>
    </row>
    <row r="12">
      <c r="A12" s="45" t="n">
        <v>8</v>
      </c>
      <c r="B12" s="63" t="n">
        <v>256</v>
      </c>
      <c r="C12" s="63" t="n">
        <v>24</v>
      </c>
      <c r="D12" s="70" t="n">
        <v>24</v>
      </c>
      <c r="E12" s="71">
        <f>IF($B12=0,"",$D12/$B12)</f>
        <v/>
      </c>
      <c r="F12" s="72">
        <f>$D12-$C12</f>
        <v/>
      </c>
      <c r="G12" s="45" t="inlineStr">
        <is>
          <t>log2(tile) * 3</t>
        </is>
      </c>
      <c r="H12" s="51" t="n"/>
    </row>
    <row r="13">
      <c r="A13" s="45" t="n">
        <v>9</v>
      </c>
      <c r="B13" s="63" t="n">
        <v>512</v>
      </c>
      <c r="C13" s="63" t="n">
        <v>27</v>
      </c>
      <c r="D13" s="70" t="n">
        <v>27</v>
      </c>
      <c r="E13" s="71">
        <f>IF($B13=0,"",$D13/$B13)</f>
        <v/>
      </c>
      <c r="F13" s="72">
        <f>$D13-$C13</f>
        <v/>
      </c>
      <c r="G13" s="45" t="inlineStr">
        <is>
          <t>log2(tile) * 3</t>
        </is>
      </c>
      <c r="H13" s="51" t="n"/>
    </row>
    <row r="14">
      <c r="A14" s="45" t="n">
        <v>10</v>
      </c>
      <c r="B14" s="63" t="n">
        <v>1024</v>
      </c>
      <c r="C14" s="63" t="n">
        <v>30</v>
      </c>
      <c r="D14" s="70" t="n">
        <v>30</v>
      </c>
      <c r="E14" s="71">
        <f>IF($B14=0,"",$D14/$B14)</f>
        <v/>
      </c>
      <c r="F14" s="72">
        <f>$D14-$C14</f>
        <v/>
      </c>
      <c r="G14" s="45" t="inlineStr">
        <is>
          <t>log2(tile) * 3</t>
        </is>
      </c>
      <c r="H14" s="51" t="n"/>
    </row>
    <row r="15">
      <c r="A15" s="45" t="n">
        <v>11</v>
      </c>
      <c r="B15" s="63" t="n">
        <v>2048</v>
      </c>
      <c r="C15" s="63" t="n">
        <v>33</v>
      </c>
      <c r="D15" s="70" t="n">
        <v>33</v>
      </c>
      <c r="E15" s="71">
        <f>IF($B15=0,"",$D15/$B15)</f>
        <v/>
      </c>
      <c r="F15" s="72">
        <f>$D15-$C15</f>
        <v/>
      </c>
      <c r="G15" s="45" t="inlineStr">
        <is>
          <t>log2(tile) * 3</t>
        </is>
      </c>
      <c r="H15" s="51" t="n"/>
    </row>
    <row r="16">
      <c r="A16" t="n">
        <v>12</v>
      </c>
      <c r="B16" t="n">
        <v>4096</v>
      </c>
      <c r="C16" t="n">
        <v>36</v>
      </c>
      <c r="D16" t="n">
        <v>36</v>
      </c>
      <c r="E16">
        <f>IF($B16=0,"",$D16/$B16)</f>
        <v/>
      </c>
      <c r="F16">
        <f>$D16-$C16</f>
        <v/>
      </c>
      <c r="G16" t="inlineStr">
        <is>
          <t>log2(tile) * 3</t>
        </is>
      </c>
    </row>
  </sheetData>
  <conditionalFormatting sqref="F5:F15">
    <cfRule type="cellIs" priority="1" operator="notEqual" dxfId="0">
      <formula>0</formula>
    </cfRule>
  </conditionalFormatting>
  <pageMargins left="0.7" right="0.7" top="0.75" bottom="0.75" header="0.3" footer="0.3"/>
  <drawing ns1:id="rId1"/>
  <tableParts count="1">
    <tablePart ns1:id="rId2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N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24" customWidth="1" min="4" max="4"/>
    <col width="16" customWidth="1" min="5" max="5"/>
    <col width="14" customWidth="1" min="6" max="6"/>
    <col width="10" customWidth="1" min="7" max="7"/>
    <col width="10" customWidth="1" min="8" max="8"/>
    <col width="16" customWidth="1" min="9" max="9"/>
    <col width="12" customWidth="1" min="10" max="10"/>
    <col width="12" customWidth="1" min="11" max="11"/>
    <col width="12" customWidth="1" min="12" max="12"/>
    <col width="68" customWidth="1" min="13" max="13"/>
    <col width="68" customWidth="1" min="14" max="14"/>
  </cols>
  <sheetData>
    <row r="1" ht="25.5" customHeight="1">
      <c r="A1" s="65" t="inlineStr">
        <is>
          <t>스킬 밸런스</t>
        </is>
      </c>
    </row>
    <row r="2" ht="19.5" customHeight="1">
      <c r="A2" s="73" t="inlineStr">
        <is>
          <t>SkillSO 41 assets synced from Assets/Data/Skills</t>
        </is>
      </c>
      <c r="I2" s="51" t="n"/>
      <c r="J2" s="51" t="n"/>
      <c r="K2" s="51" t="n"/>
      <c r="L2" s="51" t="n"/>
      <c r="M2" s="51" t="n"/>
      <c r="N2" s="51" t="n"/>
    </row>
    <row r="3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</row>
    <row r="4">
      <c r="A4" s="67" t="inlineStr">
        <is>
          <t>Skill ID</t>
        </is>
      </c>
      <c r="B4" s="67" t="inlineStr">
        <is>
          <t>Skill Name</t>
        </is>
      </c>
      <c r="C4" s="67" t="inlineStr">
        <is>
          <t>Type</t>
        </is>
      </c>
      <c r="D4" s="67" t="inlineStr">
        <is>
          <t>Effect Kind</t>
        </is>
      </c>
      <c r="E4" s="67" t="inlineStr">
        <is>
          <t>Damage Stat</t>
        </is>
      </c>
      <c r="F4" s="67" t="inlineStr">
        <is>
          <t>Availability</t>
        </is>
      </c>
      <c r="G4" s="67" t="inlineStr">
        <is>
          <t>Cost</t>
        </is>
      </c>
      <c r="H4" s="67" t="inlineStr">
        <is>
          <t>Power</t>
        </is>
      </c>
      <c r="I4" s="67" t="inlineStr">
        <is>
          <t>Effective Power</t>
        </is>
      </c>
      <c r="J4" s="67" t="inlineStr">
        <is>
          <t>Est Damage</t>
        </is>
      </c>
      <c r="K4" s="67" t="inlineStr">
        <is>
          <t>Shield/Heal</t>
        </is>
      </c>
      <c r="L4" s="67" t="inlineStr">
        <is>
          <t>Damage / Cost</t>
        </is>
      </c>
      <c r="M4" s="67" t="inlineStr">
        <is>
          <t>Effect Summary</t>
        </is>
      </c>
      <c r="N4" s="67" t="inlineStr">
        <is>
          <t>Description</t>
        </is>
      </c>
    </row>
    <row r="5">
      <c r="A5" s="45" t="inlineStr">
        <is>
          <t>quick-stab</t>
        </is>
      </c>
      <c r="B5" s="45" t="inlineStr">
        <is>
          <t>빠른 찌르기</t>
        </is>
      </c>
      <c r="C5" s="45" t="inlineStr">
        <is>
          <t>Attack</t>
        </is>
      </c>
      <c r="D5" s="70" t="inlineStr">
        <is>
          <t>BasicAttack</t>
        </is>
      </c>
      <c r="E5" s="70" t="inlineStr">
        <is>
          <t>AttackPower</t>
        </is>
      </c>
      <c r="F5" s="70" t="inlineStr">
        <is>
          <t>Shared</t>
        </is>
      </c>
      <c r="G5" s="70" t="n">
        <v>4</v>
      </c>
      <c r="H5" s="63" t="n">
        <v>40</v>
      </c>
      <c r="I5" s="63" t="n">
        <v>40</v>
      </c>
      <c r="J5" s="74">
        <f>IF(OR($C5&lt;&gt;"Attack",$I5&lt;=0),0,CEILING(($I5/10)*(IF($E5="ShieldHp",Inputs!$B$33,IF($E5="DefensePower",Inputs!$B$28,Inputs!$B$5))/MAX(1,Inputs!$B$32))*Inputs!$B$34,1))</f>
        <v/>
      </c>
      <c r="K5" s="75" t="n">
        <v>0</v>
      </c>
      <c r="L5" s="76">
        <f>IF($G5=0,"",$J5/$G5)</f>
        <v/>
      </c>
      <c r="M5" s="77" t="inlineStr">
        <is>
          <t>적에게 위력 40 피해를 준다.</t>
        </is>
      </c>
      <c r="N5" s="78" t="inlineStr">
        <is>
          <t>적에게 위력 40 피해를 준다.</t>
        </is>
      </c>
    </row>
    <row r="6">
      <c r="A6" s="45" t="inlineStr">
        <is>
          <t>overburn</t>
        </is>
      </c>
      <c r="B6" s="45" t="inlineStr">
        <is>
          <t>초과연소</t>
        </is>
      </c>
      <c r="C6" s="45" t="inlineStr">
        <is>
          <t>Attack</t>
        </is>
      </c>
      <c r="D6" s="70" t="inlineStr">
        <is>
          <t>OverburnAttack</t>
        </is>
      </c>
      <c r="E6" s="70" t="inlineStr">
        <is>
          <t>AttackPower</t>
        </is>
      </c>
      <c r="F6" s="70" t="inlineStr">
        <is>
          <t>Shared</t>
        </is>
      </c>
      <c r="G6" s="70" t="n">
        <v>5</v>
      </c>
      <c r="H6" s="63" t="n">
        <v>50</v>
      </c>
      <c r="I6" s="63" t="n">
        <v>50</v>
      </c>
      <c r="J6" s="74">
        <f>IF(OR($C6&lt;&gt;"Attack",$I6&lt;=0),0,CEILING(($I6/10)*(IF($E6="ShieldHp",Inputs!$B$33,IF($E6="DefensePower",Inputs!$B$28,Inputs!$B$5))/MAX(1,Inputs!$B$32))*Inputs!$B$34,1))</f>
        <v/>
      </c>
      <c r="K6" s="75" t="n">
        <v>0</v>
      </c>
      <c r="L6" s="76">
        <f>IF($G6=0,"",$J6/$G6)</f>
        <v/>
      </c>
      <c r="M6" s="77" t="inlineStr">
        <is>
          <t>적에게 위력 50 피해를 준다. 사용 후 남은 코스트를 모두 추가 소모하고, 추가 소모한 코스트 1당 위력 +10을 적용한다.</t>
        </is>
      </c>
      <c r="N6" s="78" t="inlineStr">
        <is>
          <t>적에게 위력 50 피해를 준다. 사용 후 남은 코스트를 모두 추가 소모하고, 추가 소모한 코스트 1당 위력 +10을 적용한다.</t>
        </is>
      </c>
    </row>
    <row r="7">
      <c r="A7" s="45" t="inlineStr">
        <is>
          <t>poison-coat</t>
        </is>
      </c>
      <c r="B7" s="45" t="inlineStr">
        <is>
          <t>독 묻히기</t>
        </is>
      </c>
      <c r="C7" s="45" t="inlineStr">
        <is>
          <t>Attack</t>
        </is>
      </c>
      <c r="D7" s="70" t="inlineStr">
        <is>
          <t>PoisonAttack</t>
        </is>
      </c>
      <c r="E7" s="70" t="inlineStr">
        <is>
          <t>AttackPower</t>
        </is>
      </c>
      <c r="F7" s="70" t="inlineStr">
        <is>
          <t>Shared</t>
        </is>
      </c>
      <c r="G7" s="70" t="n">
        <v>5</v>
      </c>
      <c r="H7" s="63" t="n">
        <v>30</v>
      </c>
      <c r="I7" s="63" t="n">
        <v>30</v>
      </c>
      <c r="J7" s="74">
        <f>IF(OR($C7&lt;&gt;"Attack",$I7&lt;=0),0,CEILING(($I7/10)*(IF($E7="ShieldHp",Inputs!$B$33,IF($E7="DefensePower",Inputs!$B$28,Inputs!$B$5))/MAX(1,Inputs!$B$32))*Inputs!$B$34,1))</f>
        <v/>
      </c>
      <c r="K7" s="75" t="n">
        <v>0</v>
      </c>
      <c r="L7" s="76">
        <f>IF($G7=0,"",$J7/$G7)</f>
        <v/>
      </c>
      <c r="M7" s="77" t="inlineStr">
        <is>
          <t>적에게 위력 30 피해를 주고 독 3턴을 부여한다. 독은 대상 턴 종료 시 최대 체력의 5% 피해를 주며 최소 1 피해를 준다.</t>
        </is>
      </c>
      <c r="N7" s="78" t="inlineStr">
        <is>
          <t>적에게 위력 30 피해를 주고 독 3턴을 부여한다. 독은 대상 턴 종료 시 최대 체력의 5% 피해를 주며 최소 1 피해를 준다.</t>
        </is>
      </c>
    </row>
    <row r="8">
      <c r="A8" s="45" t="inlineStr">
        <is>
          <t>shield-bash</t>
        </is>
      </c>
      <c r="B8" s="45" t="inlineStr">
        <is>
          <t>방패 밀치기</t>
        </is>
      </c>
      <c r="C8" s="45" t="inlineStr">
        <is>
          <t>Attack</t>
        </is>
      </c>
      <c r="D8" s="70" t="inlineStr">
        <is>
          <t>ShieldScalingAttack</t>
        </is>
      </c>
      <c r="E8" s="70" t="inlineStr">
        <is>
          <t>ShieldHp</t>
        </is>
      </c>
      <c r="F8" s="70" t="inlineStr">
        <is>
          <t>Shared</t>
        </is>
      </c>
      <c r="G8" s="70" t="n">
        <v>5</v>
      </c>
      <c r="H8" s="63" t="n">
        <v>60</v>
      </c>
      <c r="I8" s="63" t="n">
        <v>60</v>
      </c>
      <c r="J8" s="74">
        <f>IF(OR($C8&lt;&gt;"Attack",$I8&lt;=0),0,CEILING(($I8/10)*(IF($E8="ShieldHp",Inputs!$B$33,IF($E8="DefensePower",Inputs!$B$28,Inputs!$B$5))/MAX(1,Inputs!$B$32))*Inputs!$B$34,1))</f>
        <v/>
      </c>
      <c r="K8" s="75" t="n">
        <v>0</v>
      </c>
      <c r="L8" s="76">
        <f>IF($G8=0,"",$J8/$G8)</f>
        <v/>
      </c>
      <c r="M8" s="77" t="inlineStr">
        <is>
          <t>현재 보호막 수치로 계산하여 적에게 위력 60 피해를 준다. 보호막은 소모하지 않는다.</t>
        </is>
      </c>
      <c r="N8" s="78" t="inlineStr">
        <is>
          <t>현재 보호막 수치로 계산하여 적에게 위력 60 피해를 준다. 보호막은 소모하지 않는다.</t>
        </is>
      </c>
    </row>
    <row r="9">
      <c r="A9" s="45" t="inlineStr">
        <is>
          <t>bleeding-cut</t>
        </is>
      </c>
      <c r="B9" s="45" t="inlineStr">
        <is>
          <t>화염구</t>
        </is>
      </c>
      <c r="C9" s="45" t="inlineStr">
        <is>
          <t>Attack</t>
        </is>
      </c>
      <c r="D9" s="70" t="inlineStr">
        <is>
          <t>OverburnAttack</t>
        </is>
      </c>
      <c r="E9" s="70" t="inlineStr">
        <is>
          <t>AttackPower</t>
        </is>
      </c>
      <c r="F9" s="70" t="inlineStr">
        <is>
          <t>Shared</t>
        </is>
      </c>
      <c r="G9" s="70" t="n">
        <v>6</v>
      </c>
      <c r="H9" s="63" t="n">
        <v>50</v>
      </c>
      <c r="I9" s="63" t="n">
        <v>50</v>
      </c>
      <c r="J9" s="74">
        <f>IF(OR($C9&lt;&gt;"Attack",$I9&lt;=0),0,CEILING(($I9/10)*(IF($E9="ShieldHp",Inputs!$B$33,IF($E9="DefensePower",Inputs!$B$28,Inputs!$B$5))/MAX(1,Inputs!$B$32))*Inputs!$B$34,1))</f>
        <v/>
      </c>
      <c r="K9" s="75" t="n">
        <v>0</v>
      </c>
      <c r="L9" s="76">
        <f>IF($G9=0,"",$J9/$G9)</f>
        <v/>
      </c>
      <c r="M9" s="77" t="inlineStr">
        <is>
          <t>적에게 위력 50 피해를 준다. 사용 후 남은 코스트를 모두 추가 소모하고, 추가 소모한 코스트 1당 위력 +10을 적용한다. 화염구를 발사한다.</t>
        </is>
      </c>
      <c r="N9" s="78" t="inlineStr">
        <is>
          <t>적에게 위력 50 피해를 준다. 사용 후 남은 코스트를 모두 추가 소모하고, 추가 소모한 코스트 1당 위력 +10을 적용한다. 화염구를 발사한다.</t>
        </is>
      </c>
    </row>
    <row r="10">
      <c r="A10" t="inlineStr">
        <is>
          <t>execute</t>
        </is>
      </c>
      <c r="B10" t="inlineStr">
        <is>
          <t>마무리</t>
        </is>
      </c>
      <c r="C10" t="inlineStr">
        <is>
          <t>Attack</t>
        </is>
      </c>
      <c r="D10" t="inlineStr">
        <is>
          <t>ExecuteAttack</t>
        </is>
      </c>
      <c r="E10" t="inlineStr">
        <is>
          <t>AttackPower</t>
        </is>
      </c>
      <c r="F10" t="inlineStr">
        <is>
          <t>Shared</t>
        </is>
      </c>
      <c r="G10" t="n">
        <v>6</v>
      </c>
      <c r="H10" t="n">
        <v>40</v>
      </c>
      <c r="I10" t="n">
        <v>80</v>
      </c>
      <c r="J10" s="79">
        <f>IF(OR($C10&lt;&gt;"Attack",$I10&lt;=0),0,CEILING(($I10/10)*(IF($E10="ShieldHp",Inputs!$B$33,IF($E10="DefensePower",Inputs!$B$28,Inputs!$B$5))/MAX(1,Inputs!$B$32))*Inputs!$B$34,1))</f>
        <v/>
      </c>
      <c r="K10" t="n">
        <v>0</v>
      </c>
      <c r="L10" s="79">
        <f>IF($G10=0,"",$J10/$G10)</f>
        <v/>
      </c>
      <c r="M10" s="79" t="inlineStr">
        <is>
          <t>적에게 위력 40 피해를 준다. 대상의 현재 체력이 최대 체력의 30% 이하라면 위력 80으로 공격한다.</t>
        </is>
      </c>
      <c r="N10" s="79" t="inlineStr">
        <is>
          <t>적에게 위력 40 피해를 준다. 대상의 현재 체력이 최대 체력의 30% 이하라면 위력 80으로 공격한다.</t>
        </is>
      </c>
    </row>
    <row r="11">
      <c r="A11" t="inlineStr">
        <is>
          <t>gather-light</t>
        </is>
      </c>
      <c r="B11" t="inlineStr">
        <is>
          <t>빛 모으기</t>
        </is>
      </c>
      <c r="C11" t="inlineStr">
        <is>
          <t>Attack</t>
        </is>
      </c>
      <c r="D11" t="inlineStr">
        <is>
          <t>ChargeAttack</t>
        </is>
      </c>
      <c r="E11" t="inlineStr">
        <is>
          <t>AttackPower</t>
        </is>
      </c>
      <c r="F11" t="inlineStr">
        <is>
          <t>PlayerOnly</t>
        </is>
      </c>
      <c r="G11" t="n">
        <v>6</v>
      </c>
      <c r="H11" t="n">
        <v>0</v>
      </c>
      <c r="I11" t="n">
        <v>0</v>
      </c>
      <c r="J11" s="79">
        <f>IF(OR($C11&lt;&gt;"Attack",$I11&lt;=0),0,CEILING(($I11/10)*(IF($E11="ShieldHp",Inputs!$B$33,IF($E11="DefensePower",Inputs!$B$28,Inputs!$B$5))/MAX(1,Inputs!$B$32))*Inputs!$B$34,1))</f>
        <v/>
      </c>
      <c r="K11" t="n">
        <v>0</v>
      </c>
      <c r="L11" s="79">
        <f>IF($G11=0,"",$J11/$G11)</f>
        <v/>
      </c>
      <c r="M11" s="79" t="inlineStr">
        <is>
          <t>이번 턴에는 빛을 모은다. 다음 플레이어 턴 시작 시 적에게 위력 120의 빛 공격을 자동으로 사용한다.</t>
        </is>
      </c>
      <c r="N11" s="79" t="inlineStr">
        <is>
          <t>이번 턴에는 빛을 모은다. 다음 플레이어 턴 시작 시 적에게 위력 120의 빛 공격을 자동으로 사용한다.</t>
        </is>
      </c>
    </row>
    <row r="12">
      <c r="A12" t="inlineStr">
        <is>
          <t>light-shot</t>
        </is>
      </c>
      <c r="B12" t="inlineStr">
        <is>
          <t>빛 발사</t>
        </is>
      </c>
      <c r="C12" t="inlineStr">
        <is>
          <t>Attack</t>
        </is>
      </c>
      <c r="D12" t="inlineStr">
        <is>
          <t>BasicAttack</t>
        </is>
      </c>
      <c r="E12" t="inlineStr">
        <is>
          <t>AttackPower</t>
        </is>
      </c>
      <c r="F12" t="inlineStr">
        <is>
          <t>PlayerOnly</t>
        </is>
      </c>
      <c r="G12" t="n">
        <v>6</v>
      </c>
      <c r="H12" t="n">
        <v>60</v>
      </c>
      <c r="I12" t="n">
        <v>60</v>
      </c>
      <c r="J12" s="79">
        <f>IF(OR($C12&lt;&gt;"Attack",$I12&lt;=0),0,CEILING(($I12/10)*(IF($E12="ShieldHp",Inputs!$B$33,IF($E12="DefensePower",Inputs!$B$28,Inputs!$B$5))/MAX(1,Inputs!$B$32))*Inputs!$B$34,1))</f>
        <v/>
      </c>
      <c r="K12" t="n">
        <v>0</v>
      </c>
      <c r="L12" s="79">
        <f>IF($G12=0,"",$J12/$G12)</f>
        <v/>
      </c>
      <c r="M12" s="79" t="inlineStr">
        <is>
          <t>적에게 위력 60의 빛 피해를 준다.</t>
        </is>
      </c>
      <c r="N12" s="79" t="inlineStr">
        <is>
          <t>적에게 위력 60의 빛 피해를 준다.</t>
        </is>
      </c>
    </row>
    <row r="13">
      <c r="A13" t="inlineStr">
        <is>
          <t>tentacle-strike</t>
        </is>
      </c>
      <c r="B13" t="inlineStr">
        <is>
          <t>촉수 치기</t>
        </is>
      </c>
      <c r="C13" t="inlineStr">
        <is>
          <t>Attack</t>
        </is>
      </c>
      <c r="D13" s="79" t="inlineStr">
        <is>
          <t>BoardMovePenaltyAttack</t>
        </is>
      </c>
      <c r="E13" t="inlineStr">
        <is>
          <t>AttackPower</t>
        </is>
      </c>
      <c r="F13" t="inlineStr">
        <is>
          <t>Shared</t>
        </is>
      </c>
      <c r="G13" t="n">
        <v>6</v>
      </c>
      <c r="H13" t="n">
        <v>90</v>
      </c>
      <c r="I13" t="n">
        <v>90</v>
      </c>
      <c r="J13" s="79">
        <f>IF(OR($C13&lt;&gt;"Attack",$I13&lt;=0),0,CEILING(($I13/10)*(IF($E13="ShieldHp",Inputs!$B$33,IF($E13="DefensePower",Inputs!$B$28,Inputs!$B$5))/MAX(1,Inputs!$B$32))*Inputs!$B$34,1))</f>
        <v/>
      </c>
      <c r="K13" t="n">
        <v>0</v>
      </c>
      <c r="L13" s="79">
        <f>IF($G13=0,"",$J13/$G13)</f>
        <v/>
      </c>
      <c r="M13" s="79" t="inlineStr">
        <is>
          <t>적에게 위력 90 피해를 준다. 다음 플레이어 턴의 보드 이동 횟수가 1 감소한다.</t>
        </is>
      </c>
      <c r="N13" s="79" t="inlineStr">
        <is>
          <t>적에게 위력 90 피해를 준다. 다음 플레이어 턴의 보드 이동 횟수가 1 감소한다.</t>
        </is>
      </c>
    </row>
    <row r="14">
      <c r="A14" t="inlineStr">
        <is>
          <t>blood-fang</t>
        </is>
      </c>
      <c r="B14" t="inlineStr">
        <is>
          <t>불사르기</t>
        </is>
      </c>
      <c r="C14" t="inlineStr">
        <is>
          <t>Attack</t>
        </is>
      </c>
      <c r="D14" t="inlineStr">
        <is>
          <t>SacrificeAttack</t>
        </is>
      </c>
      <c r="E14" t="inlineStr">
        <is>
          <t>AttackPower</t>
        </is>
      </c>
      <c r="F14" t="inlineStr">
        <is>
          <t>Shared</t>
        </is>
      </c>
      <c r="G14" t="n">
        <v>7</v>
      </c>
      <c r="H14" t="n">
        <v>100</v>
      </c>
      <c r="I14" t="n">
        <v>100</v>
      </c>
      <c r="J14" s="79">
        <f>IF(OR($C14&lt;&gt;"Attack",$I14&lt;=0),0,CEILING(($I14/10)*(IF($E14="ShieldHp",Inputs!$B$33,IF($E14="DefensePower",Inputs!$B$28,Inputs!$B$5))/MAX(1,Inputs!$B$32))*Inputs!$B$34,1))</f>
        <v/>
      </c>
      <c r="K14" t="n">
        <v>0</v>
      </c>
      <c r="L14" s="79">
        <f>IF($G14=0,"",$J14/$G14)</f>
        <v/>
      </c>
      <c r="M14" s="79" t="inlineStr">
        <is>
          <t>최대 체력의 10%를 불태워 화염구를 발사하고 적에게 위력 100 피해를 준다. 이 비용으로 체력은 1 아래로 내려가지 않는다.</t>
        </is>
      </c>
      <c r="N14" s="79" t="inlineStr">
        <is>
          <t>최대 체력의 10%를 불태워 화염구를 발사하고 적에게 위력 100 피해를 준다. 이 비용으로 체력은 1 아래로 내려가지 않는다.</t>
        </is>
      </c>
    </row>
    <row r="15">
      <c r="A15" t="inlineStr">
        <is>
          <t>body-press</t>
        </is>
      </c>
      <c r="B15" t="inlineStr">
        <is>
          <t>육중한 압박</t>
        </is>
      </c>
      <c r="C15" t="inlineStr">
        <is>
          <t>Attack</t>
        </is>
      </c>
      <c r="D15" t="inlineStr">
        <is>
          <t>DefenseScalingAttack</t>
        </is>
      </c>
      <c r="E15" t="inlineStr">
        <is>
          <t>DefensePower</t>
        </is>
      </c>
      <c r="F15" t="inlineStr">
        <is>
          <t>Shared</t>
        </is>
      </c>
      <c r="G15" t="n">
        <v>7</v>
      </c>
      <c r="H15" t="n">
        <v>80</v>
      </c>
      <c r="I15" t="n">
        <v>80</v>
      </c>
      <c r="J15" s="79">
        <f>IF(OR($C15&lt;&gt;"Attack",$I15&lt;=0),0,CEILING(($I15/10)*(IF($E15="ShieldHp",Inputs!$B$33,IF($E15="DefensePower",Inputs!$B$28,Inputs!$B$5))/MAX(1,Inputs!$B$32))*Inputs!$B$34,1))</f>
        <v/>
      </c>
      <c r="K15" t="n">
        <v>0</v>
      </c>
      <c r="L15" s="79">
        <f>IF($G15=0,"",$J15/$G15)</f>
        <v/>
      </c>
      <c r="M15" s="79" t="inlineStr">
        <is>
          <t>공격력 대신 방어력으로 계산하여 적에게 위력 80 피해를 준다.</t>
        </is>
      </c>
      <c r="N15" s="79" t="inlineStr">
        <is>
          <t>공격력 대신 방어력으로 계산하여 적에게 위력 80 피해를 준다.</t>
        </is>
      </c>
    </row>
    <row r="16">
      <c r="A16" t="inlineStr">
        <is>
          <t>flow-strike</t>
        </is>
      </c>
      <c r="B16" t="inlineStr">
        <is>
          <t>흐름 가르기</t>
        </is>
      </c>
      <c r="C16" t="inlineStr">
        <is>
          <t>Attack</t>
        </is>
      </c>
      <c r="D16" t="inlineStr">
        <is>
          <t>BoardMoveBonusAttack</t>
        </is>
      </c>
      <c r="E16" t="inlineStr">
        <is>
          <t>AttackPower</t>
        </is>
      </c>
      <c r="F16" t="inlineStr">
        <is>
          <t>PlayerOnly</t>
        </is>
      </c>
      <c r="G16" t="n">
        <v>7</v>
      </c>
      <c r="H16" t="n">
        <v>50</v>
      </c>
      <c r="I16" t="n">
        <v>50</v>
      </c>
      <c r="J16" s="79">
        <f>IF(OR($C16&lt;&gt;"Attack",$I16&lt;=0),0,CEILING(($I16/10)*(IF($E16="ShieldHp",Inputs!$B$33,IF($E16="DefensePower",Inputs!$B$28,Inputs!$B$5))/MAX(1,Inputs!$B$32))*Inputs!$B$34,1))</f>
        <v/>
      </c>
      <c r="K16" t="n">
        <v>0</v>
      </c>
      <c r="L16" s="79">
        <f>IF($G16=0,"",$J16/$G16)</f>
        <v/>
      </c>
      <c r="M16" s="79" t="inlineStr">
        <is>
          <t>적에게 위력 50 피해를 준다. 다음 플레이어 턴의 보드 이동 횟수가 1 증가한다.</t>
        </is>
      </c>
      <c r="N16" s="79" t="inlineStr">
        <is>
          <t>적에게 위력 50 피해를 준다. 다음 플레이어 턴의 보드 이동 횟수가 1 증가한다.</t>
        </is>
      </c>
    </row>
    <row r="17">
      <c r="A17" t="inlineStr">
        <is>
          <t>intimidating-shot</t>
        </is>
      </c>
      <c r="B17" t="inlineStr">
        <is>
          <t>위협 사격</t>
        </is>
      </c>
      <c r="C17" t="inlineStr">
        <is>
          <t>Attack</t>
        </is>
      </c>
      <c r="D17" t="inlineStr">
        <is>
          <t>AttackStageDown</t>
        </is>
      </c>
      <c r="E17" t="inlineStr">
        <is>
          <t>AttackPower</t>
        </is>
      </c>
      <c r="F17" t="inlineStr">
        <is>
          <t>Shared</t>
        </is>
      </c>
      <c r="G17" t="n">
        <v>7</v>
      </c>
      <c r="H17" t="n">
        <v>50</v>
      </c>
      <c r="I17" t="n">
        <v>50</v>
      </c>
      <c r="J17" s="79">
        <f>IF(OR($C17&lt;&gt;"Attack",$I17&lt;=0),0,CEILING(($I17/10)*(IF($E17="ShieldHp",Inputs!$B$33,IF($E17="DefensePower",Inputs!$B$28,Inputs!$B$5))/MAX(1,Inputs!$B$32))*Inputs!$B$34,1))</f>
        <v/>
      </c>
      <c r="K17" t="n">
        <v>0</v>
      </c>
      <c r="L17" s="79">
        <f>IF($G17=0,"",$J17/$G17)</f>
        <v/>
      </c>
      <c r="M17" s="79" t="inlineStr">
        <is>
          <t>적에게 위력 50 피해를 주고, 적의 공격 랭크를 1 낮춘다. [Rank multiplier: enemy attack -1 =&gt; attack x0.67]</t>
        </is>
      </c>
      <c r="N17" s="79" t="inlineStr">
        <is>
          <t>적에게 위력 50 피해를 주고, 적의 공격 랭크를 1 낮춘다.</t>
        </is>
      </c>
    </row>
    <row r="18">
      <c r="A18" t="inlineStr">
        <is>
          <t>life-drain</t>
        </is>
      </c>
      <c r="B18" t="inlineStr">
        <is>
          <t>생명 흡수</t>
        </is>
      </c>
      <c r="C18" t="inlineStr">
        <is>
          <t>Attack</t>
        </is>
      </c>
      <c r="D18" t="inlineStr">
        <is>
          <t>LifeStealAttack</t>
        </is>
      </c>
      <c r="E18" t="inlineStr">
        <is>
          <t>AttackPower</t>
        </is>
      </c>
      <c r="F18" t="inlineStr">
        <is>
          <t>Shared</t>
        </is>
      </c>
      <c r="G18" t="n">
        <v>7</v>
      </c>
      <c r="H18" t="n">
        <v>60</v>
      </c>
      <c r="I18" t="n">
        <v>60</v>
      </c>
      <c r="J18" s="79">
        <f>IF(OR($C18&lt;&gt;"Attack",$I18&lt;=0),0,CEILING(($I18/10)*(IF($E18="ShieldHp",Inputs!$B$33,IF($E18="DefensePower",Inputs!$B$28,Inputs!$B$5))/MAX(1,Inputs!$B$32))*Inputs!$B$34,1))</f>
        <v/>
      </c>
      <c r="K18" t="n">
        <v>0</v>
      </c>
      <c r="L18" s="79">
        <f>IF($G18=0,"",$J18/$G18)</f>
        <v/>
      </c>
      <c r="M18" s="79" t="inlineStr">
        <is>
          <t>적에게 위력 60 피해를 준다. 실제 체력 피해의 50%만큼 체력을 회복한다.</t>
        </is>
      </c>
      <c r="N18" s="79" t="inlineStr">
        <is>
          <t>적에게 위력 60 피해를 준다. 실제 체력 피해의 50%만큼 체력을 회복한다.</t>
        </is>
      </c>
    </row>
    <row r="19">
      <c r="A19" t="inlineStr">
        <is>
          <t>open-wound</t>
        </is>
      </c>
      <c r="B19" t="inlineStr">
        <is>
          <t>폭렬</t>
        </is>
      </c>
      <c r="C19" t="inlineStr">
        <is>
          <t>Attack</t>
        </is>
      </c>
      <c r="D19" t="inlineStr">
        <is>
          <t>OverburnAttack</t>
        </is>
      </c>
      <c r="E19" t="inlineStr">
        <is>
          <t>AttackPower</t>
        </is>
      </c>
      <c r="F19" t="inlineStr">
        <is>
          <t>Shared</t>
        </is>
      </c>
      <c r="G19" t="n">
        <v>7</v>
      </c>
      <c r="H19" t="n">
        <v>70</v>
      </c>
      <c r="I19" t="inlineStr">
        <is>
          <t>70</t>
        </is>
      </c>
      <c r="J19" s="79">
        <f>IF(OR($C19&lt;&gt;"Attack",$I19&lt;=0),0,CEILING(($I19/10)*(IF($E19="ShieldHp",Inputs!$B$33,IF($E19="DefensePower",Inputs!$B$28,Inputs!$B$5))/MAX(1,Inputs!$B$32))*Inputs!$B$34,1))</f>
        <v/>
      </c>
      <c r="K19" t="n">
        <v>0</v>
      </c>
      <c r="L19" s="79">
        <f>IF($G19=0,"",$J19/$G19)</f>
        <v/>
      </c>
      <c r="M19" s="79" t="inlineStr">
        <is>
          <t>적에게 위력 70 피해를 준다. 사용 후 남은 코스트를 모두 추가 소모하고, 추가 소모한 코스트 1당 위력 +10을 적용한다. 폭발하는 화염구를 발사하고, 적중 시 적 위치에 폭발 이펙트를 일으킨다.</t>
        </is>
      </c>
      <c r="N19" s="79" t="inlineStr">
        <is>
          <t>적에게 위력 70 피해를 준다. 사용 후 남은 코스트를 모두 추가 소모하고, 추가 소모한 코스트 1당 위력 +10을 적용한다. 폭발하는 화염구를 발사하고, 적중 시 적 위치에 폭발 이펙트를 일으킨다.</t>
        </is>
      </c>
    </row>
    <row r="20">
      <c r="A20" t="inlineStr">
        <is>
          <t>shield-burst</t>
        </is>
      </c>
      <c r="B20" t="inlineStr">
        <is>
          <t>방패 폭발</t>
        </is>
      </c>
      <c r="C20" t="inlineStr">
        <is>
          <t>Attack</t>
        </is>
      </c>
      <c r="D20" t="inlineStr">
        <is>
          <t>ShieldBurstAttack</t>
        </is>
      </c>
      <c r="E20" t="inlineStr">
        <is>
          <t>ShieldHp</t>
        </is>
      </c>
      <c r="F20" t="inlineStr">
        <is>
          <t>Shared</t>
        </is>
      </c>
      <c r="G20" t="n">
        <v>7</v>
      </c>
      <c r="H20" t="n">
        <v>100</v>
      </c>
      <c r="I20" t="n">
        <v>100</v>
      </c>
      <c r="J20" s="79">
        <f>IF(OR($C20&lt;&gt;"Attack",$I20&lt;=0),0,CEILING(($I20/10)*(IF($E20="ShieldHp",Inputs!$B$33,IF($E20="DefensePower",Inputs!$B$28,Inputs!$B$5))/MAX(1,Inputs!$B$32))*Inputs!$B$34,1))</f>
        <v/>
      </c>
      <c r="K20" t="n">
        <v>0</v>
      </c>
      <c r="L20" s="79">
        <f>IF($G20=0,"",$J20/$G20)</f>
        <v/>
      </c>
      <c r="M20" s="79" t="inlineStr">
        <is>
          <t>현재 보호막 수치로 계산하여 적에게 위력 100 피해를 준다. 사용 후 보호막을 모두 잃는다.</t>
        </is>
      </c>
      <c r="N20" s="79" t="inlineStr">
        <is>
          <t>현재 보호막 수치로 계산하여 적에게 위력 100 피해를 준다. 사용 후 보호막을 모두 잃는다.</t>
        </is>
      </c>
    </row>
    <row r="21">
      <c r="A21" t="inlineStr">
        <is>
          <t>bioluminescence</t>
        </is>
      </c>
      <c r="B21" t="inlineStr">
        <is>
          <t>생체 발광</t>
        </is>
      </c>
      <c r="C21" t="inlineStr">
        <is>
          <t>Attack</t>
        </is>
      </c>
      <c r="D21" t="inlineStr">
        <is>
          <t>SacrificeAttack</t>
        </is>
      </c>
      <c r="E21" t="inlineStr">
        <is>
          <t>AttackPower</t>
        </is>
      </c>
      <c r="F21" t="inlineStr">
        <is>
          <t>PlayerOnly</t>
        </is>
      </c>
      <c r="G21" t="n">
        <v>8</v>
      </c>
      <c r="H21" t="n">
        <v>120</v>
      </c>
      <c r="I21" t="n">
        <v>120</v>
      </c>
      <c r="J21" s="79">
        <f>IF(OR($C21&lt;&gt;"Attack",$I21&lt;=0),0,CEILING(($I21/10)*(IF($E21="ShieldHp",Inputs!$B$33,IF($E21="DefensePower",Inputs!$B$28,Inputs!$B$5))/MAX(1,Inputs!$B$32))*Inputs!$B$34,1))</f>
        <v/>
      </c>
      <c r="K21" t="n">
        <v>0</v>
      </c>
      <c r="L21" s="79">
        <f>IF($G21=0,"",$J21/$G21)</f>
        <v/>
      </c>
      <c r="M21" s="79" t="inlineStr">
        <is>
          <t>최대 체력의 25%를 지불하고 적에게 위력 120 피해를 준다. 이 비용으로 체력은 1 아래로 내려가지 않는다.</t>
        </is>
      </c>
      <c r="N21" s="79" t="inlineStr">
        <is>
          <t>최대 체력의 25%를 지불하고 적에게 위력 120 피해를 준다. 이 비용으로 체력은 1 아래로 내려가지 않는다.</t>
        </is>
      </c>
    </row>
    <row r="22">
      <c r="A22" t="inlineStr">
        <is>
          <t>heavy-strike</t>
        </is>
      </c>
      <c r="B22" t="inlineStr">
        <is>
          <t>강타</t>
        </is>
      </c>
      <c r="C22" t="inlineStr">
        <is>
          <t>Attack</t>
        </is>
      </c>
      <c r="D22" t="inlineStr">
        <is>
          <t>BasicAttack</t>
        </is>
      </c>
      <c r="E22" t="inlineStr">
        <is>
          <t>AttackPower</t>
        </is>
      </c>
      <c r="F22" t="inlineStr">
        <is>
          <t>Shared</t>
        </is>
      </c>
      <c r="G22" t="n">
        <v>8</v>
      </c>
      <c r="H22" t="n">
        <v>80</v>
      </c>
      <c r="I22" t="n">
        <v>80</v>
      </c>
      <c r="J22" s="79">
        <f>IF(OR($C22&lt;&gt;"Attack",$I22&lt;=0),0,CEILING(($I22/10)*(IF($E22="ShieldHp",Inputs!$B$33,IF($E22="DefensePower",Inputs!$B$28,Inputs!$B$5))/MAX(1,Inputs!$B$32))*Inputs!$B$34,1))</f>
        <v/>
      </c>
      <c r="K22" t="n">
        <v>0</v>
      </c>
      <c r="L22" s="79">
        <f>IF($G22=0,"",$J22/$G22)</f>
        <v/>
      </c>
      <c r="M22" s="79" t="inlineStr">
        <is>
          <t>적에게 위력 80 피해를 준다.</t>
        </is>
      </c>
      <c r="N22" s="79" t="inlineStr">
        <is>
          <t>적에게 위력 80 피해를 준다.</t>
        </is>
      </c>
    </row>
    <row r="23">
      <c r="A23" t="inlineStr">
        <is>
          <t>reckless-blow</t>
        </is>
      </c>
      <c r="B23" t="inlineStr">
        <is>
          <t>무리한 강타</t>
        </is>
      </c>
      <c r="C23" t="inlineStr">
        <is>
          <t>Attack</t>
        </is>
      </c>
      <c r="D23" s="79" t="inlineStr">
        <is>
          <t>BoardMovePenaltyAttack</t>
        </is>
      </c>
      <c r="E23" t="inlineStr">
        <is>
          <t>AttackPower</t>
        </is>
      </c>
      <c r="F23" t="inlineStr">
        <is>
          <t>Shared</t>
        </is>
      </c>
      <c r="G23" t="n">
        <v>8</v>
      </c>
      <c r="H23" t="n">
        <v>110</v>
      </c>
      <c r="I23" t="n">
        <v>110</v>
      </c>
      <c r="J23" s="79">
        <f>IF(OR($C23&lt;&gt;"Attack",$I23&lt;=0),0,CEILING(($I23/10)*(IF($E23="ShieldHp",Inputs!$B$33,IF($E23="DefensePower",Inputs!$B$28,Inputs!$B$5))/MAX(1,Inputs!$B$32))*Inputs!$B$34,1))</f>
        <v/>
      </c>
      <c r="K23" t="n">
        <v>0</v>
      </c>
      <c r="L23" s="79">
        <f>IF($G23=0,"",$J23/$G23)</f>
        <v/>
      </c>
      <c r="M23" s="79" t="inlineStr">
        <is>
          <t>적에게 위력 110 피해를 준다. 다음 플레이어 턴의 보드 이동 횟수가 2 감소한다.</t>
        </is>
      </c>
      <c r="N23" s="79" t="inlineStr">
        <is>
          <t>적에게 위력 110 피해를 준다. 다음 플레이어 턴의 보드 이동 횟수가 2 감소한다.</t>
        </is>
      </c>
    </row>
    <row r="24">
      <c r="A24" t="inlineStr">
        <is>
          <t>crack-brand</t>
        </is>
      </c>
      <c r="B24" t="inlineStr">
        <is>
          <t>균열 낙인</t>
        </is>
      </c>
      <c r="C24" t="inlineStr">
        <is>
          <t>Debuff</t>
        </is>
      </c>
      <c r="D24" t="inlineStr">
        <is>
          <t>CrackBrand</t>
        </is>
      </c>
      <c r="E24" t="inlineStr">
        <is>
          <t>AttackPower</t>
        </is>
      </c>
      <c r="F24" t="inlineStr">
        <is>
          <t>Shared</t>
        </is>
      </c>
      <c r="G24" t="n">
        <v>5</v>
      </c>
      <c r="H24" t="n">
        <v>0</v>
      </c>
      <c r="I24" t="n">
        <v>0</v>
      </c>
      <c r="J24" s="79">
        <f>IF(OR($C24&lt;&gt;"Attack",$I24&lt;=0),0,CEILING(($I24/10)*(IF($E24="ShieldHp",Inputs!$B$33,IF($E24="DefensePower",Inputs!$B$28,Inputs!$B$5))/MAX(1,Inputs!$B$32))*Inputs!$B$34,1))</f>
        <v/>
      </c>
      <c r="K24" t="n">
        <v>0</v>
      </c>
      <c r="L24" s="79">
        <f>IF($G24=0,"",$J24/$G24)</f>
        <v/>
      </c>
      <c r="M24" s="79" t="inlineStr">
        <is>
          <t>대상에게 낙인을 부여한다. 낙인이 있는 대상이 다음 공격을 받으면 추가 피해 40을 받고 낙인이 해제된다.</t>
        </is>
      </c>
      <c r="N24" s="79" t="inlineStr">
        <is>
          <t>대상에게 낙인을 부여한다. 낙인이 있는 대상이 다음 공격을 받으면 추가 피해 40을 받고 낙인이 해제된다.</t>
        </is>
      </c>
    </row>
    <row r="25">
      <c r="A25" t="inlineStr">
        <is>
          <t>flash</t>
        </is>
      </c>
      <c r="B25" t="inlineStr">
        <is>
          <t>섬광</t>
        </is>
      </c>
      <c r="C25" t="inlineStr">
        <is>
          <t>Debuff</t>
        </is>
      </c>
      <c r="D25" t="inlineStr">
        <is>
          <t>AttackStageDown</t>
        </is>
      </c>
      <c r="E25" t="inlineStr">
        <is>
          <t>AttackPower</t>
        </is>
      </c>
      <c r="F25" t="inlineStr">
        <is>
          <t>Shared</t>
        </is>
      </c>
      <c r="G25" t="n">
        <v>5</v>
      </c>
      <c r="H25" t="n">
        <v>0</v>
      </c>
      <c r="I25" t="n">
        <v>0</v>
      </c>
      <c r="J25" s="79">
        <f>IF(OR($C25&lt;&gt;"Attack",$I25&lt;=0),0,CEILING(($I25/10)*(IF($E25="ShieldHp",Inputs!$B$33,IF($E25="DefensePower",Inputs!$B$28,Inputs!$B$5))/MAX(1,Inputs!$B$32))*Inputs!$B$34,1))</f>
        <v/>
      </c>
      <c r="K25" t="n">
        <v>0</v>
      </c>
      <c r="L25" s="79">
        <f>IF($G25=0,"",$J25/$G25)</f>
        <v/>
      </c>
      <c r="M25" s="79" t="inlineStr">
        <is>
          <t>적의 공격 랭크를 1 낮춘다. [Rank multiplier: enemy attack -1 =&gt; attack x0.67]</t>
        </is>
      </c>
      <c r="N25" s="79" t="inlineStr">
        <is>
          <t>적의 공격 랭크를 1 낮춘다.</t>
        </is>
      </c>
    </row>
    <row r="26">
      <c r="A26" t="inlineStr">
        <is>
          <t>howl</t>
        </is>
      </c>
      <c r="B26" t="inlineStr">
        <is>
          <t>울부짖기</t>
        </is>
      </c>
      <c r="C26" t="inlineStr">
        <is>
          <t>Debuff</t>
        </is>
      </c>
      <c r="D26" t="inlineStr">
        <is>
          <t>DefenseStageDown</t>
        </is>
      </c>
      <c r="E26" t="inlineStr">
        <is>
          <t>AttackPower</t>
        </is>
      </c>
      <c r="F26" t="inlineStr">
        <is>
          <t>Shared</t>
        </is>
      </c>
      <c r="G26" t="n">
        <v>5</v>
      </c>
      <c r="H26" t="n">
        <v>0</v>
      </c>
      <c r="I26" t="n">
        <v>0</v>
      </c>
      <c r="J26" s="79">
        <f>IF(OR($C26&lt;&gt;"Attack",$I26&lt;=0),0,CEILING(($I26/10)*(IF($E26="ShieldHp",Inputs!$B$33,IF($E26="DefensePower",Inputs!$B$28,Inputs!$B$5))/MAX(1,Inputs!$B$32))*Inputs!$B$34,1))</f>
        <v/>
      </c>
      <c r="K26" t="n">
        <v>0</v>
      </c>
      <c r="L26" s="79">
        <f>IF($G26=0,"",$J26/$G26)</f>
        <v/>
      </c>
      <c r="M26" s="79" t="inlineStr">
        <is>
          <t>적의 방어 랭크를 1 낮춘다. [Rank multiplier: enemy defense -1 =&gt; defense x0.67]</t>
        </is>
      </c>
      <c r="N26" s="79" t="inlineStr">
        <is>
          <t>적의 방어 랭크를 1 낮춘다.</t>
        </is>
      </c>
    </row>
    <row r="27">
      <c r="A27" t="inlineStr">
        <is>
          <t>taunt</t>
        </is>
      </c>
      <c r="B27" t="inlineStr">
        <is>
          <t>도발</t>
        </is>
      </c>
      <c r="C27" t="inlineStr">
        <is>
          <t>Debuff</t>
        </is>
      </c>
      <c r="D27" t="inlineStr">
        <is>
          <t>Taunt</t>
        </is>
      </c>
      <c r="E27" t="inlineStr">
        <is>
          <t>AttackPower</t>
        </is>
      </c>
      <c r="F27" t="inlineStr">
        <is>
          <t>PlayerOnly</t>
        </is>
      </c>
      <c r="G27" t="n">
        <v>5</v>
      </c>
      <c r="H27" t="n">
        <v>0</v>
      </c>
      <c r="I27" t="n">
        <v>0</v>
      </c>
      <c r="J27" s="79">
        <f>IF(OR($C27&lt;&gt;"Attack",$I27&lt;=0),0,CEILING(($I27/10)*(IF($E27="ShieldHp",Inputs!$B$33,IF($E27="DefensePower",Inputs!$B$28,Inputs!$B$5))/MAX(1,Inputs!$B$32))*Inputs!$B$34,1))</f>
        <v/>
      </c>
      <c r="K27" t="n">
        <v>0</v>
      </c>
      <c r="L27" s="79">
        <f>IF($G27=0,"",$J27/$G27)</f>
        <v/>
      </c>
      <c r="M27" s="79" t="inlineStr">
        <is>
          <t>적의 다음 행동 인텐드를 공격으로 강제하고, 적의 공격 랭크를 2 올린다. [Rank multiplier: enemy attack +2 =&gt; attack x2]</t>
        </is>
      </c>
      <c r="N27" s="79" t="inlineStr">
        <is>
          <t>적의 다음 행동 인텐드를 공격으로 강제하고, 적의 공격 랭크를 2 올린다.</t>
        </is>
      </c>
    </row>
    <row r="28">
      <c r="A28" t="inlineStr">
        <is>
          <t>seal-skill</t>
        </is>
      </c>
      <c r="B28" t="inlineStr">
        <is>
          <t>봉인</t>
        </is>
      </c>
      <c r="C28" t="inlineStr">
        <is>
          <t>Debuff</t>
        </is>
      </c>
      <c r="D28" t="inlineStr">
        <is>
          <t>SealSkill</t>
        </is>
      </c>
      <c r="E28" t="inlineStr">
        <is>
          <t>AttackPower</t>
        </is>
      </c>
      <c r="F28" t="inlineStr">
        <is>
          <t>Shared</t>
        </is>
      </c>
      <c r="G28" t="n">
        <v>6</v>
      </c>
      <c r="H28" t="n">
        <v>0</v>
      </c>
      <c r="I28" t="n">
        <v>0</v>
      </c>
      <c r="J28" s="79">
        <f>IF(OR($C28&lt;&gt;"Attack",$I28&lt;=0),0,CEILING(($I28/10)*(IF($E28="ShieldHp",Inputs!$B$33,IF($E28="DefensePower",Inputs!$B$28,Inputs!$B$5))/MAX(1,Inputs!$B$32))*Inputs!$B$34,1))</f>
        <v/>
      </c>
      <c r="K28" t="n">
        <v>0</v>
      </c>
      <c r="L28" s="79">
        <f>IF($G28=0,"",$J28/$G28)</f>
        <v/>
      </c>
      <c r="M28" s="79" t="inlineStr">
        <is>
          <t>대상이 마지막으로 사용한 비기본 스킬을 다음 턴 1회 사용할 수 없게 한다. 봉인할 스킬이 없으면 효과가 없다.</t>
        </is>
      </c>
      <c r="N28" s="79" t="inlineStr">
        <is>
          <t>대상이 마지막으로 사용한 비기본 스킬을 다음 턴 1회 사용할 수 없게 한다. 봉인할 스킬이 없으면 효과가 없다.</t>
        </is>
      </c>
    </row>
    <row r="29">
      <c r="A29" t="inlineStr">
        <is>
          <t>afterglow-save</t>
        </is>
      </c>
      <c r="B29" t="inlineStr">
        <is>
          <t>잔광 저장</t>
        </is>
      </c>
      <c r="C29" t="inlineStr">
        <is>
          <t>Defense</t>
        </is>
      </c>
      <c r="D29" t="inlineStr">
        <is>
          <t>CostCarry</t>
        </is>
      </c>
      <c r="E29" t="inlineStr">
        <is>
          <t>AttackPower</t>
        </is>
      </c>
      <c r="F29" t="inlineStr">
        <is>
          <t>PlayerOnly</t>
        </is>
      </c>
      <c r="G29" t="n">
        <v>4</v>
      </c>
      <c r="H29" t="n">
        <v>0</v>
      </c>
      <c r="I29" t="n">
        <v>0</v>
      </c>
      <c r="J29" s="79">
        <f>IF(OR($C29&lt;&gt;"Attack",$I29&lt;=0),0,CEILING(($I29/10)*(IF($E29="ShieldHp",Inputs!$B$33,IF($E29="DefensePower",Inputs!$B$28,Inputs!$B$5))/MAX(1,Inputs!$B$32))*Inputs!$B$34,1))</f>
        <v/>
      </c>
      <c r="K29" t="n">
        <v>0</v>
      </c>
      <c r="L29" s="79">
        <f>IF($G29=0,"",$J29/$G29)</f>
        <v/>
      </c>
      <c r="M29" s="79" t="inlineStr">
        <is>
          <t>이번 턴 종료 시 남은 코스트를 최대 4까지 다음 턴으로 이월한다. 이월 코스트는 한 번 적용되면 사라진다.</t>
        </is>
      </c>
      <c r="N29" s="79" t="inlineStr">
        <is>
          <t>이번 턴 종료 시 남은 코스트를 최대 4까지 다음 턴으로 이월한다. 이월 코스트는 한 번 적용되면 사라진다.</t>
        </is>
      </c>
    </row>
    <row r="30">
      <c r="A30" t="inlineStr">
        <is>
          <t>cleanse-hand</t>
        </is>
      </c>
      <c r="B30" t="inlineStr">
        <is>
          <t>정화의 손길</t>
        </is>
      </c>
      <c r="C30" t="inlineStr">
        <is>
          <t>Defense</t>
        </is>
      </c>
      <c r="D30" t="inlineStr">
        <is>
          <t>DarknessCleanse</t>
        </is>
      </c>
      <c r="E30" t="inlineStr">
        <is>
          <t>AttackPower</t>
        </is>
      </c>
      <c r="F30" t="inlineStr">
        <is>
          <t>PlayerOnly</t>
        </is>
      </c>
      <c r="G30" t="n">
        <v>4</v>
      </c>
      <c r="H30" t="n">
        <v>0</v>
      </c>
      <c r="I30" t="n">
        <v>0</v>
      </c>
      <c r="J30" s="79">
        <f>IF(OR($C30&lt;&gt;"Attack",$I30&lt;=0),0,CEILING(($I30/10)*(IF($E30="ShieldHp",Inputs!$B$33,IF($E30="DefensePower",Inputs!$B$28,Inputs!$B$5))/MAX(1,Inputs!$B$32))*Inputs!$B$34,1))</f>
        <v/>
      </c>
      <c r="K30" t="n">
        <v>0</v>
      </c>
      <c r="L30" s="79">
        <f>IF($G30=0,"",$J30/$G30)</f>
        <v/>
      </c>
      <c r="M30" s="79" t="inlineStr">
        <is>
          <t>보드 위 암흑 장애물 1개를 제거한다. 제거에 성공하면 코스트 2를 환급한다.</t>
        </is>
      </c>
      <c r="N30" s="79" t="inlineStr">
        <is>
          <t>보드 위 암흑 장애물 1개를 제거한다. 제거에 성공하면 코스트 2를 환급한다.</t>
        </is>
      </c>
    </row>
    <row r="31">
      <c r="A31" t="inlineStr">
        <is>
          <t>focus-breath</t>
        </is>
      </c>
      <c r="B31" t="inlineStr">
        <is>
          <t>집중 호흡</t>
        </is>
      </c>
      <c r="C31" t="inlineStr">
        <is>
          <t>Defense</t>
        </is>
      </c>
      <c r="D31" t="inlineStr">
        <is>
          <t>CriticalStageUp</t>
        </is>
      </c>
      <c r="E31" t="inlineStr">
        <is>
          <t>AttackPower</t>
        </is>
      </c>
      <c r="F31" t="inlineStr">
        <is>
          <t>Shared</t>
        </is>
      </c>
      <c r="G31" t="n">
        <v>4</v>
      </c>
      <c r="H31" t="n">
        <v>0</v>
      </c>
      <c r="I31" t="n">
        <v>0</v>
      </c>
      <c r="J31" s="79">
        <f>IF(OR($C31&lt;&gt;"Attack",$I31&lt;=0),0,CEILING(($I31/10)*(IF($E31="ShieldHp",Inputs!$B$33,IF($E31="DefensePower",Inputs!$B$28,Inputs!$B$5))/MAX(1,Inputs!$B$32))*Inputs!$B$34,1))</f>
        <v/>
      </c>
      <c r="K31" t="n">
        <v>0</v>
      </c>
      <c r="L31" s="79">
        <f>IF($G31=0,"",$J31/$G31)</f>
        <v/>
      </c>
      <c r="M31" s="79" t="inlineStr">
        <is>
          <t>치명타 랭크를 1 올린다. [Critical rank: +1 =&gt; critical chance +20%p]</t>
        </is>
      </c>
      <c r="N31" s="79" t="inlineStr">
        <is>
          <t>치명타 랭크를 1 올린다.</t>
        </is>
      </c>
    </row>
    <row r="32">
      <c r="A32" t="inlineStr">
        <is>
          <t>low-stance</t>
        </is>
      </c>
      <c r="B32" t="inlineStr">
        <is>
          <t>낮은 자세</t>
        </is>
      </c>
      <c r="C32" t="inlineStr">
        <is>
          <t>Defense</t>
        </is>
      </c>
      <c r="D32" t="inlineStr">
        <is>
          <t>BasicDefense</t>
        </is>
      </c>
      <c r="E32" t="inlineStr">
        <is>
          <t>AttackPower</t>
        </is>
      </c>
      <c r="F32" t="inlineStr">
        <is>
          <t>Shared</t>
        </is>
      </c>
      <c r="G32" t="n">
        <v>4</v>
      </c>
      <c r="H32" t="n">
        <v>30</v>
      </c>
      <c r="I32" t="n">
        <v>30</v>
      </c>
      <c r="J32" s="79">
        <f>IF(OR($C32&lt;&gt;"Attack",$I32&lt;=0),0,CEILING(($I32/10)*(IF($E32="ShieldHp",Inputs!$B$33,IF($E32="DefensePower",Inputs!$B$28,Inputs!$B$5))/MAX(1,Inputs!$B$32))*Inputs!$B$34,1))</f>
        <v/>
      </c>
      <c r="K32" t="n">
        <v>30</v>
      </c>
      <c r="L32" s="79">
        <f>IF($G32=0,"",$J32/$G32)</f>
        <v/>
      </c>
      <c r="M32" s="79" t="inlineStr">
        <is>
          <t>보호막 30을 얻는다.</t>
        </is>
      </c>
      <c r="N32" s="79" t="inlineStr">
        <is>
          <t>보호막 30을 얻는다.</t>
        </is>
      </c>
    </row>
    <row r="33">
      <c r="A33" t="inlineStr">
        <is>
          <t>light-echo</t>
        </is>
      </c>
      <c r="B33" t="inlineStr">
        <is>
          <t>빛의 메아리</t>
        </is>
      </c>
      <c r="C33" t="inlineStr">
        <is>
          <t>Defense</t>
        </is>
      </c>
      <c r="D33" s="79" t="inlineStr">
        <is>
          <t>NextAttackPowerMultiplier</t>
        </is>
      </c>
      <c r="E33" t="inlineStr">
        <is>
          <t>AttackPower</t>
        </is>
      </c>
      <c r="F33" t="inlineStr">
        <is>
          <t>PlayerOnly</t>
        </is>
      </c>
      <c r="G33" t="n">
        <v>5</v>
      </c>
      <c r="H33" t="n">
        <v>0</v>
      </c>
      <c r="I33" t="n">
        <v>0</v>
      </c>
      <c r="J33" s="79">
        <f>IF(OR($C33&lt;&gt;"Attack",$I33&lt;=0),0,CEILING(($I33/10)*(IF($E33="ShieldHp",Inputs!$B$33,IF($E33="DefensePower",Inputs!$B$28,Inputs!$B$5))/MAX(1,Inputs!$B$32))*Inputs!$B$34,1))</f>
        <v/>
      </c>
      <c r="K33" t="n">
        <v>0</v>
      </c>
      <c r="L33" s="79">
        <f>IF($G33=0,"",$J33/$G33)</f>
        <v/>
      </c>
      <c r="M33" s="79" t="inlineStr">
        <is>
          <t>다음 공격의 기술 위력이 1.3배가 된다.</t>
        </is>
      </c>
      <c r="N33" s="79" t="inlineStr">
        <is>
          <t>다음 공격의 기술 위력이 1.3배가 된다.</t>
        </is>
      </c>
    </row>
    <row r="34">
      <c r="A34" t="inlineStr">
        <is>
          <t>endure</t>
        </is>
      </c>
      <c r="B34" t="inlineStr">
        <is>
          <t>이악물기</t>
        </is>
      </c>
      <c r="C34" t="inlineStr">
        <is>
          <t>Defense</t>
        </is>
      </c>
      <c r="D34" t="inlineStr">
        <is>
          <t>Endure</t>
        </is>
      </c>
      <c r="E34" t="inlineStr">
        <is>
          <t>AttackPower</t>
        </is>
      </c>
      <c r="F34" t="inlineStr">
        <is>
          <t>Shared</t>
        </is>
      </c>
      <c r="G34" t="n">
        <v>6</v>
      </c>
      <c r="H34" t="n">
        <v>0</v>
      </c>
      <c r="I34" t="n">
        <v>0</v>
      </c>
      <c r="J34" s="79">
        <f>IF(OR($C34&lt;&gt;"Attack",$I34&lt;=0),0,CEILING(($I34/10)*(IF($E34="ShieldHp",Inputs!$B$33,IF($E34="DefensePower",Inputs!$B$28,Inputs!$B$5))/MAX(1,Inputs!$B$32))*Inputs!$B$34,1))</f>
        <v/>
      </c>
      <c r="K34" t="n">
        <v>0</v>
      </c>
      <c r="L34" s="79">
        <f>IF($G34=0,"",$J34/$G34)</f>
        <v/>
      </c>
      <c r="M34" s="79" t="inlineStr">
        <is>
          <t>다음 적 턴 동안 체력이 1 아래로 내려가지 않는다.</t>
        </is>
      </c>
      <c r="N34" s="79" t="inlineStr">
        <is>
          <t>다음 적 턴 동안 체력이 1 아래로 내려가지 않는다.</t>
        </is>
      </c>
    </row>
    <row r="35">
      <c r="A35" t="inlineStr">
        <is>
          <t>iron-wall</t>
        </is>
      </c>
      <c r="B35" t="inlineStr">
        <is>
          <t>철벽</t>
        </is>
      </c>
      <c r="C35" t="inlineStr">
        <is>
          <t>Defense</t>
        </is>
      </c>
      <c r="D35" t="inlineStr">
        <is>
          <t>DefenseStageUp</t>
        </is>
      </c>
      <c r="E35" t="inlineStr">
        <is>
          <t>AttackPower</t>
        </is>
      </c>
      <c r="F35" t="inlineStr">
        <is>
          <t>Shared</t>
        </is>
      </c>
      <c r="G35" t="n">
        <v>6</v>
      </c>
      <c r="H35" t="n">
        <v>0</v>
      </c>
      <c r="I35" t="n">
        <v>0</v>
      </c>
      <c r="J35" s="79">
        <f>IF(OR($C35&lt;&gt;"Attack",$I35&lt;=0),0,CEILING(($I35/10)*(IF($E35="ShieldHp",Inputs!$B$33,IF($E35="DefensePower",Inputs!$B$28,Inputs!$B$5))/MAX(1,Inputs!$B$32))*Inputs!$B$34,1))</f>
        <v/>
      </c>
      <c r="K35" t="n">
        <v>0</v>
      </c>
      <c r="L35" s="79">
        <f>IF($G35=0,"",$J35/$G35)</f>
        <v/>
      </c>
      <c r="M35" s="79" t="inlineStr">
        <is>
          <t>내 방어 랭크를 2 올린다. [Rank multiplier: self defense +2 =&gt; defense x2]</t>
        </is>
      </c>
      <c r="N35" s="79" t="inlineStr">
        <is>
          <t>내 방어 랭크를 2 올린다.</t>
        </is>
      </c>
    </row>
    <row r="36">
      <c r="A36" t="inlineStr">
        <is>
          <t>light-guard</t>
        </is>
      </c>
      <c r="B36" t="inlineStr">
        <is>
          <t>빛 방어</t>
        </is>
      </c>
      <c r="C36" t="inlineStr">
        <is>
          <t>Defense</t>
        </is>
      </c>
      <c r="D36" t="inlineStr">
        <is>
          <t>BasicDefense</t>
        </is>
      </c>
      <c r="E36" t="inlineStr">
        <is>
          <t>AttackPower</t>
        </is>
      </c>
      <c r="F36" t="inlineStr">
        <is>
          <t>PlayerOnly</t>
        </is>
      </c>
      <c r="G36" t="n">
        <v>6</v>
      </c>
      <c r="H36" t="n">
        <v>60</v>
      </c>
      <c r="I36" t="n">
        <v>60</v>
      </c>
      <c r="J36" s="79">
        <f>IF(OR($C36&lt;&gt;"Attack",$I36&lt;=0),0,CEILING(($I36/10)*(IF($E36="ShieldHp",Inputs!$B$33,IF($E36="DefensePower",Inputs!$B$28,Inputs!$B$5))/MAX(1,Inputs!$B$32))*Inputs!$B$34,1))</f>
        <v/>
      </c>
      <c r="K36" t="n">
        <v>60</v>
      </c>
      <c r="L36" s="79">
        <f>IF($G36=0,"",$J36/$G36)</f>
        <v/>
      </c>
      <c r="M36" s="79" t="inlineStr">
        <is>
          <t>보호막 60을 얻는다.</t>
        </is>
      </c>
      <c r="N36" s="79" t="inlineStr">
        <is>
          <t>보호막 60을 얻는다.</t>
        </is>
      </c>
    </row>
    <row r="37">
      <c r="A37" t="inlineStr">
        <is>
          <t>light-split</t>
        </is>
      </c>
      <c r="B37" t="inlineStr">
        <is>
          <t>빛의 분산</t>
        </is>
      </c>
      <c r="C37" t="inlineStr">
        <is>
          <t>Defense</t>
        </is>
      </c>
      <c r="D37" t="inlineStr">
        <is>
          <t>NextAttackSplit</t>
        </is>
      </c>
      <c r="E37" t="inlineStr">
        <is>
          <t>AttackPower</t>
        </is>
      </c>
      <c r="F37" t="inlineStr">
        <is>
          <t>PlayerOnly</t>
        </is>
      </c>
      <c r="G37" t="n">
        <v>6</v>
      </c>
      <c r="H37" t="n">
        <v>0</v>
      </c>
      <c r="I37" t="n">
        <v>0</v>
      </c>
      <c r="J37" s="79">
        <f>IF(OR($C37&lt;&gt;"Attack",$I37&lt;=0),0,CEILING(($I37/10)*(IF($E37="ShieldHp",Inputs!$B$33,IF($E37="DefensePower",Inputs!$B$28,Inputs!$B$5))/MAX(1,Inputs!$B$32))*Inputs!$B$34,1))</f>
        <v/>
      </c>
      <c r="K37" t="n">
        <v>0</v>
      </c>
      <c r="L37" s="79">
        <f>IF($G37=0,"",$J37/$G37)</f>
        <v/>
      </c>
      <c r="M37" s="79" t="inlineStr">
        <is>
          <t>다음 공격이 2회 공격으로 바뀐다. 각 공격은 원래 기술 위력의 60%로 계산된다.</t>
        </is>
      </c>
      <c r="N37" s="79" t="inlineStr">
        <is>
          <t>다음 공격이 2회 공격으로 바뀐다. 각 공격은 원래 기술 위력의 60%로 계산된다.</t>
        </is>
      </c>
    </row>
    <row r="38">
      <c r="A38" t="inlineStr">
        <is>
          <t>sharp-senses</t>
        </is>
      </c>
      <c r="B38" t="inlineStr">
        <is>
          <t>예리한 감각</t>
        </is>
      </c>
      <c r="C38" t="inlineStr">
        <is>
          <t>Defense</t>
        </is>
      </c>
      <c r="D38" t="inlineStr">
        <is>
          <t>CriticalStageUp</t>
        </is>
      </c>
      <c r="E38" t="inlineStr">
        <is>
          <t>AttackPower</t>
        </is>
      </c>
      <c r="F38" t="inlineStr">
        <is>
          <t>Shared</t>
        </is>
      </c>
      <c r="G38" t="n">
        <v>6</v>
      </c>
      <c r="H38" t="n">
        <v>0</v>
      </c>
      <c r="I38" t="n">
        <v>0</v>
      </c>
      <c r="J38" s="79">
        <f>IF(OR($C38&lt;&gt;"Attack",$I38&lt;=0),0,CEILING(($I38/10)*(IF($E38="ShieldHp",Inputs!$B$33,IF($E38="DefensePower",Inputs!$B$28,Inputs!$B$5))/MAX(1,Inputs!$B$32))*Inputs!$B$34,1))</f>
        <v/>
      </c>
      <c r="K38" t="n">
        <v>0</v>
      </c>
      <c r="L38" s="79">
        <f>IF($G38=0,"",$J38/$G38)</f>
        <v/>
      </c>
      <c r="M38" s="79" t="inlineStr">
        <is>
          <t>치명타 랭크를 2 올린다. [Critical rank: +2 =&gt; critical chance +40%p]</t>
        </is>
      </c>
      <c r="N38" s="79" t="inlineStr">
        <is>
          <t>치명타 랭크를 2 올린다.</t>
        </is>
      </c>
    </row>
    <row r="39">
      <c r="A39" t="inlineStr">
        <is>
          <t>thorn-guard</t>
        </is>
      </c>
      <c r="B39" t="inlineStr">
        <is>
          <t>가시 방어</t>
        </is>
      </c>
      <c r="C39" t="inlineStr">
        <is>
          <t>Defense</t>
        </is>
      </c>
      <c r="D39" t="inlineStr">
        <is>
          <t>ThornGuard</t>
        </is>
      </c>
      <c r="E39" t="inlineStr">
        <is>
          <t>AttackPower</t>
        </is>
      </c>
      <c r="F39" t="inlineStr">
        <is>
          <t>Shared</t>
        </is>
      </c>
      <c r="G39" t="n">
        <v>7</v>
      </c>
      <c r="H39" t="n">
        <v>40</v>
      </c>
      <c r="I39" t="n">
        <v>40</v>
      </c>
      <c r="J39" s="79">
        <f>IF(OR($C39&lt;&gt;"Attack",$I39&lt;=0),0,CEILING(($I39/10)*(IF($E39="ShieldHp",Inputs!$B$33,IF($E39="DefensePower",Inputs!$B$28,Inputs!$B$5))/MAX(1,Inputs!$B$32))*Inputs!$B$34,1))</f>
        <v/>
      </c>
      <c r="K39" t="n">
        <v>40</v>
      </c>
      <c r="L39" s="79">
        <f>IF($G39=0,"",$J39/$G39)</f>
        <v/>
      </c>
      <c r="M39" s="79" t="inlineStr">
        <is>
          <t>보호막 40을 얻는다. 보호막이 남아 있을 때 적의 직접 공격을 받으면, 현재 보호막 수치로 위력 40 반격을 한다.</t>
        </is>
      </c>
      <c r="N39" s="79" t="inlineStr">
        <is>
          <t>보호막 40을 얻는다. 보호막이 남아 있을 때 적의 직접 공격을 받으면, 현재 보호막 수치로 위력 40 반격을 한다.</t>
        </is>
      </c>
    </row>
    <row r="40">
      <c r="A40" t="inlineStr">
        <is>
          <t>light-recover</t>
        </is>
      </c>
      <c r="B40" t="inlineStr">
        <is>
          <t>빛 회복</t>
        </is>
      </c>
      <c r="C40" t="inlineStr">
        <is>
          <t>Heal</t>
        </is>
      </c>
      <c r="D40" t="inlineStr">
        <is>
          <t>Heal</t>
        </is>
      </c>
      <c r="E40" t="inlineStr">
        <is>
          <t>AttackPower</t>
        </is>
      </c>
      <c r="F40" t="inlineStr">
        <is>
          <t>PlayerOnly</t>
        </is>
      </c>
      <c r="G40" t="n">
        <v>6</v>
      </c>
      <c r="H40" t="n">
        <v>0</v>
      </c>
      <c r="I40" t="n">
        <v>0</v>
      </c>
      <c r="J40" s="79">
        <f>IF(OR($C40&lt;&gt;"Attack",$I40&lt;=0),0,CEILING(($I40/10)*(IF($E40="ShieldHp",Inputs!$B$33,IF($E40="DefensePower",Inputs!$B$28,Inputs!$B$5))/MAX(1,Inputs!$B$32))*Inputs!$B$34,1))</f>
        <v/>
      </c>
      <c r="K40" t="n">
        <v>0.25</v>
      </c>
      <c r="L40" s="79">
        <f>IF($G40=0,"",$J40/$G40)</f>
        <v/>
      </c>
      <c r="M40" s="79" t="inlineStr">
        <is>
          <t>최대 체력의 25%만큼 회복한다.</t>
        </is>
      </c>
      <c r="N40" s="79" t="inlineStr">
        <is>
          <t>최대 체력의 25%만큼 회복한다.</t>
        </is>
      </c>
    </row>
    <row r="41">
      <c r="A41" t="inlineStr">
        <is>
          <t>dark-shackle</t>
        </is>
      </c>
      <c r="B41" t="inlineStr">
        <is>
          <t>어둠의 족쇄</t>
        </is>
      </c>
      <c r="C41" t="inlineStr">
        <is>
          <t>Attack</t>
        </is>
      </c>
      <c r="D41" s="79" t="inlineStr">
        <is>
          <t>BoardMovePenaltyAttack</t>
        </is>
      </c>
      <c r="E41" t="inlineStr">
        <is>
          <t>AttackPower</t>
        </is>
      </c>
      <c r="F41" t="inlineStr">
        <is>
          <t>EnemyOnly</t>
        </is>
      </c>
      <c r="G41" t="n">
        <v>0</v>
      </c>
      <c r="H41" t="n">
        <v>40</v>
      </c>
      <c r="I41" t="n">
        <v>40</v>
      </c>
      <c r="J41" s="79">
        <f>IF(OR($C41&lt;&gt;"Attack",$I41&lt;=0),0,CEILING(($I41/10)*(IF($E41="ShieldHp",Inputs!$B$33,IF($E41="DefensePower",Inputs!$B$28,Inputs!$B$5))/MAX(1,Inputs!$B$32))*Inputs!$B$34,1))</f>
        <v/>
      </c>
      <c r="K41" t="n">
        <v>0</v>
      </c>
      <c r="L41" s="79">
        <f>IF($G41=0,"",$J41/$G41)</f>
        <v/>
      </c>
      <c r="M41" s="79" t="inlineStr">
        <is>
          <t>위력 40 피해를 주고, 다음 플레이어 턴의 보드 이동 횟수를 1 줄인다.</t>
        </is>
      </c>
      <c r="N41" s="79" t="inlineStr">
        <is>
          <t>위력 40 피해를 주고, 다음 플레이어 턴의 보드 이동 횟수를 1 줄인다.</t>
        </is>
      </c>
    </row>
    <row r="42">
      <c r="A42" t="inlineStr">
        <is>
          <t>black-corrosion</t>
        </is>
      </c>
      <c r="B42" t="inlineStr">
        <is>
          <t>검은 부식</t>
        </is>
      </c>
      <c r="C42" t="inlineStr">
        <is>
          <t>Debuff</t>
        </is>
      </c>
      <c r="D42" t="inlineStr">
        <is>
          <t>CostGainDown</t>
        </is>
      </c>
      <c r="E42" t="inlineStr">
        <is>
          <t>AttackPower</t>
        </is>
      </c>
      <c r="F42" t="inlineStr">
        <is>
          <t>EnemyOnly</t>
        </is>
      </c>
      <c r="G42" t="n">
        <v>0</v>
      </c>
      <c r="H42" t="n">
        <v>0</v>
      </c>
      <c r="I42" t="n">
        <v>0</v>
      </c>
      <c r="J42" s="79">
        <f>IF(OR($C42&lt;&gt;"Attack",$I42&lt;=0),0,CEILING(($I42/10)*(IF($E42="ShieldHp",Inputs!$B$33,IF($E42="DefensePower",Inputs!$B$28,Inputs!$B$5))/MAX(1,Inputs!$B$32))*Inputs!$B$34,1))</f>
        <v/>
      </c>
      <c r="K42" t="n">
        <v>0</v>
      </c>
      <c r="L42" s="79">
        <f>IF($G42=0,"",$J42/$G42)</f>
        <v/>
      </c>
      <c r="M42" s="79" t="inlineStr">
        <is>
          <t>플레이어의 다음 턴 코스트 획득량에서 3을 차감한다. 코스트 획득량은 0 미만으로 내려가지 않는다.</t>
        </is>
      </c>
      <c r="N42" s="79" t="inlineStr">
        <is>
          <t>플레이어의 다음 턴 코스트 획득량에서 3을 차감한다. 코스트 획득량은 0 미만으로 내려가지 않는다.</t>
        </is>
      </c>
    </row>
    <row r="43">
      <c r="A43" t="inlineStr">
        <is>
          <t>black-pressure</t>
        </is>
      </c>
      <c r="B43" t="inlineStr">
        <is>
          <t>검은 압박</t>
        </is>
      </c>
      <c r="C43" t="inlineStr">
        <is>
          <t>Debuff</t>
        </is>
      </c>
      <c r="D43" t="inlineStr">
        <is>
          <t>CostGainDown</t>
        </is>
      </c>
      <c r="E43" t="inlineStr">
        <is>
          <t>AttackPower</t>
        </is>
      </c>
      <c r="F43" t="inlineStr">
        <is>
          <t>EnemyOnly</t>
        </is>
      </c>
      <c r="G43" t="n">
        <v>0</v>
      </c>
      <c r="H43" t="n">
        <v>0</v>
      </c>
      <c r="I43" t="n">
        <v>0</v>
      </c>
      <c r="J43" s="79">
        <f>IF(OR($C43&lt;&gt;"Attack",$I43&lt;=0),0,CEILING(($I43/10)*(IF($E43="ShieldHp",Inputs!$B$33,IF($E43="DefensePower",Inputs!$B$28,Inputs!$B$5))/MAX(1,Inputs!$B$32))*Inputs!$B$34,1))</f>
        <v/>
      </c>
      <c r="K43" t="n">
        <v>0</v>
      </c>
      <c r="L43" s="79">
        <f>IF($G43=0,"",$J43/$G43)</f>
        <v/>
      </c>
      <c r="M43" s="79" t="inlineStr">
        <is>
          <t>다음 플레이어 턴에 보드에서 얻는 코스트가 30% 감소한다.</t>
        </is>
      </c>
      <c r="N43" s="79" t="inlineStr">
        <is>
          <t>다음 플레이어 턴에 보드에서 얻는 코스트가 30% 감소한다.</t>
        </is>
      </c>
    </row>
    <row r="44">
      <c r="A44" t="inlineStr">
        <is>
          <t>darkness</t>
        </is>
      </c>
      <c r="B44" t="inlineStr">
        <is>
          <t>암흑</t>
        </is>
      </c>
      <c r="C44" t="inlineStr">
        <is>
          <t>Debuff</t>
        </is>
      </c>
      <c r="D44" t="inlineStr">
        <is>
          <t>BoardObstacleDebuff</t>
        </is>
      </c>
      <c r="E44" t="inlineStr">
        <is>
          <t>AttackPower</t>
        </is>
      </c>
      <c r="F44" t="inlineStr">
        <is>
          <t>EnemyOnly</t>
        </is>
      </c>
      <c r="G44" t="n">
        <v>0</v>
      </c>
      <c r="H44" t="n">
        <v>0</v>
      </c>
      <c r="I44" t="n">
        <v>0</v>
      </c>
      <c r="J44" s="79">
        <f>IF(OR($C44&lt;&gt;"Attack",$I44&lt;=0),0,CEILING(($I44/10)*(IF($E44="ShieldHp",Inputs!$B$33,IF($E44="DefensePower",Inputs!$B$28,Inputs!$B$5))/MAX(1,Inputs!$B$32))*Inputs!$B$34,1))</f>
        <v/>
      </c>
      <c r="K44" t="n">
        <v>0</v>
      </c>
      <c r="L44" s="79">
        <f>IF($G44=0,"",$J44/$G44)</f>
        <v/>
      </c>
      <c r="M44" s="79" t="inlineStr">
        <is>
          <t>다음 플레이어 보드에 암흑 장애물 1개를 생성한다.</t>
        </is>
      </c>
      <c r="N44" s="79" t="inlineStr">
        <is>
          <t>다음 플레이어 보드에 암흑 장애물 1개를 생성한다.</t>
        </is>
      </c>
    </row>
    <row r="45">
      <c r="A45" t="inlineStr">
        <is>
          <t>deep-darkness</t>
        </is>
      </c>
      <c r="B45" t="inlineStr">
        <is>
          <t>깊은 암흑</t>
        </is>
      </c>
      <c r="C45" t="inlineStr">
        <is>
          <t>Debuff</t>
        </is>
      </c>
      <c r="D45" t="inlineStr">
        <is>
          <t>BoardObstacleDebuff</t>
        </is>
      </c>
      <c r="E45" t="inlineStr">
        <is>
          <t>AttackPower</t>
        </is>
      </c>
      <c r="F45" t="inlineStr">
        <is>
          <t>EnemyOnly</t>
        </is>
      </c>
      <c r="G45" t="n">
        <v>0</v>
      </c>
      <c r="H45" t="n">
        <v>0</v>
      </c>
      <c r="I45" t="n">
        <v>0</v>
      </c>
      <c r="J45" s="79">
        <f>IF(OR($C45&lt;&gt;"Attack",$I45&lt;=0),0,CEILING(($I45/10)*(IF($E45="ShieldHp",Inputs!$B$33,IF($E45="DefensePower",Inputs!$B$28,Inputs!$B$5))/MAX(1,Inputs!$B$32))*Inputs!$B$34,1))</f>
        <v/>
      </c>
      <c r="K45" t="n">
        <v>0</v>
      </c>
      <c r="L45" s="79">
        <f>IF($G45=0,"",$J45/$G45)</f>
        <v/>
      </c>
      <c r="M45" s="79" t="inlineStr">
        <is>
          <t>다음 플레이어 보드에 암흑 장애물 2개를 생성한다.</t>
        </is>
      </c>
      <c r="N45" s="79" t="inlineStr">
        <is>
          <t>다음 플레이어 보드에 암흑 장애물 2개를 생성한다.</t>
        </is>
      </c>
    </row>
  </sheetData>
  <conditionalFormatting sqref="K5:L9">
    <cfRule type="colorScale" priority="1">
      <colorScale>
        <cfvo type="min"/>
        <cfvo type="percentile" val="50"/>
        <cfvo type="max"/>
        <color rgb="00F8D7DA"/>
        <color rgb="00FFF3BF"/>
        <color rgb="00DFF4E7"/>
      </colorScale>
    </cfRule>
  </conditionalFormatting>
  <dataValidations count="2">
    <dataValidation sqref="C5:C45" showDropDown="0" showInputMessage="0" showErrorMessage="0" allowBlank="1" type="list">
      <formula1>=Lists!$A$2:$A$5</formula1>
    </dataValidation>
    <dataValidation sqref="F5:F45" showDropDown="0" showInputMessage="0" showErrorMessage="0" allowBlank="1" type="list">
      <formula1>=Lists!$H$2:$H$5</formula1>
    </dataValidation>
  </dataValidations>
  <pageMargins left="0.7" right="0.7" top="0.75" bottom="0.75" header="0.3" footer="0.3"/>
  <tableParts count="1">
    <tablePart ns1:id="rId1"/>
  </tableParts>
</worksheet>
</file>

<file path=xl/worksheets/sheet5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AA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8" customWidth="1" min="5" max="5"/>
    <col width="10" customWidth="1" min="6" max="6"/>
    <col width="12" customWidth="1" min="7" max="7"/>
    <col width="12" customWidth="1" min="8" max="8"/>
    <col width="13" customWidth="1" min="9" max="9"/>
    <col width="12" customWidth="1" min="10" max="10"/>
    <col width="11.4399995803833" customWidth="1" min="11" max="11"/>
    <col width="10.77000045776367" customWidth="1" min="12" max="12"/>
    <col width="10.77000045776367" customWidth="1" min="13" max="13"/>
    <col width="10.77000045776367" customWidth="1" min="14" max="14"/>
    <col width="18" customWidth="1" min="15" max="15"/>
    <col width="18" customWidth="1" min="16" max="16"/>
    <col width="18" customWidth="1" min="17" max="17"/>
    <col width="18" customWidth="1" min="18" max="18"/>
    <col width="14.80000019073486" customWidth="1" min="19" max="19"/>
    <col width="14.80000019073486" customWidth="1" min="20" max="20"/>
    <col width="14.80000019073486" customWidth="1" min="21" max="21"/>
    <col width="12.10999965667725" customWidth="1" min="22" max="22"/>
    <col width="11.4399995803833" customWidth="1" min="23" max="23"/>
    <col width="31.6299991607666" customWidth="1" min="24" max="24"/>
    <col width="42" customWidth="1" min="27" max="27"/>
  </cols>
  <sheetData>
    <row r="1" ht="25.5" customHeight="1">
      <c r="A1" s="65" t="inlineStr">
        <is>
          <t>적 로스터 / AI 압박도</t>
        </is>
      </c>
    </row>
    <row r="2" ht="19.5" customHeight="1">
      <c r="A2" s="73" t="inlineStr">
        <is>
          <t>Assets/Data/Enemies/*.asset 12종을 현재 스탯, 스킬 4칸, AI 설정 기준으로 갱신했습니다.</t>
        </is>
      </c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</row>
    <row r="3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</row>
    <row r="4">
      <c r="A4" s="67" t="inlineStr">
        <is>
          <t>Enemy</t>
        </is>
      </c>
      <c r="B4" s="67" t="inlineStr">
        <is>
          <t>Encounter Rank</t>
        </is>
      </c>
      <c r="C4" s="67" t="inlineStr">
        <is>
          <t>AI Strength</t>
        </is>
      </c>
      <c r="D4" s="67" t="inlineStr">
        <is>
          <t>AI Bias</t>
        </is>
      </c>
      <c r="E4" s="67" t="inlineStr">
        <is>
          <t>Debuff Pattern</t>
        </is>
      </c>
      <c r="F4" s="67" t="inlineStr">
        <is>
          <t>Max HP</t>
        </is>
      </c>
      <c r="G4" s="67" t="inlineStr">
        <is>
          <t>Attack Stat</t>
        </is>
      </c>
      <c r="H4" s="67" t="inlineStr">
        <is>
          <t>Defense Stat</t>
        </is>
      </c>
      <c r="I4" s="67" t="inlineStr">
        <is>
          <t>Defense Block</t>
        </is>
      </c>
      <c r="J4" s="67" t="inlineStr">
        <is>
          <t>Debuff Power</t>
        </is>
      </c>
      <c r="K4" s="67" t="inlineStr">
        <is>
          <t>Crit %</t>
        </is>
      </c>
      <c r="L4" s="67" t="inlineStr">
        <is>
          <t>Crit Mult</t>
        </is>
      </c>
      <c r="M4" s="67" t="inlineStr">
        <is>
          <t>Actions / Turn</t>
        </is>
      </c>
      <c r="N4" s="67" t="inlineStr">
        <is>
          <t>Debuff Interval</t>
        </is>
      </c>
      <c r="O4" s="67" t="inlineStr">
        <is>
          <t>Skill 1</t>
        </is>
      </c>
      <c r="P4" s="67" t="inlineStr">
        <is>
          <t>Skill 2</t>
        </is>
      </c>
      <c r="Q4" s="67" t="inlineStr">
        <is>
          <t>Skill 3</t>
        </is>
      </c>
      <c r="R4" s="67" t="inlineStr">
        <is>
          <t>Skill 4</t>
        </is>
      </c>
      <c r="S4" s="67" t="inlineStr">
        <is>
          <t>Attack Chance</t>
        </is>
      </c>
      <c r="T4" s="67" t="inlineStr">
        <is>
          <t>Defense Chance</t>
        </is>
      </c>
      <c r="U4" s="67" t="inlineStr">
        <is>
          <t>Strength Mult</t>
        </is>
      </c>
      <c r="V4" s="67" t="inlineStr">
        <is>
          <t>Eff Attack</t>
        </is>
      </c>
      <c r="W4" s="67" t="inlineStr">
        <is>
          <t>Eff Block</t>
        </is>
      </c>
      <c r="X4" s="67" t="inlineStr">
        <is>
          <t>Exp Atk / Turn</t>
        </is>
      </c>
      <c r="Y4" s="67" t="inlineStr">
        <is>
          <t>TTK Best Hit</t>
        </is>
      </c>
      <c r="Z4" s="67" t="inlineStr">
        <is>
          <t>Risk Score</t>
        </is>
      </c>
      <c r="AA4" s="67" t="inlineStr">
        <is>
          <t>Notes</t>
        </is>
      </c>
    </row>
    <row r="5">
      <c r="A5" s="45" t="inlineStr">
        <is>
          <t>그림자 늑대</t>
        </is>
      </c>
      <c r="B5" s="46" t="inlineStr">
        <is>
          <t>Normal</t>
        </is>
      </c>
      <c r="C5" s="46" t="inlineStr">
        <is>
          <t>Normal</t>
        </is>
      </c>
      <c r="D5" s="46" t="inlineStr">
        <is>
          <t>Balanced</t>
        </is>
      </c>
      <c r="E5" s="70" t="inlineStr">
        <is>
          <t>FearThenDarkness</t>
        </is>
      </c>
      <c r="F5" s="70" t="n">
        <v>150</v>
      </c>
      <c r="G5" s="70" t="n">
        <v>5</v>
      </c>
      <c r="H5" s="70" t="n">
        <v>0</v>
      </c>
      <c r="I5" s="70" t="n">
        <v>3</v>
      </c>
      <c r="J5" s="70" t="n">
        <v>1</v>
      </c>
      <c r="K5" s="70" t="n">
        <v>0</v>
      </c>
      <c r="L5" s="64" t="n">
        <v>1.5</v>
      </c>
      <c r="M5" s="64" t="n">
        <v>1</v>
      </c>
      <c r="N5" s="64" t="n">
        <v>3</v>
      </c>
      <c r="O5" s="62" t="inlineStr">
        <is>
          <t>빠른 찌르기</t>
        </is>
      </c>
      <c r="P5" s="62" t="inlineStr">
        <is>
          <t>출혈 베기</t>
        </is>
      </c>
      <c r="Q5" s="62" t="inlineStr">
        <is>
          <t>낮은 자세</t>
        </is>
      </c>
      <c r="R5" s="62" t="inlineStr">
        <is>
          <t>울부짖기</t>
        </is>
      </c>
      <c r="S5" s="80">
        <f>IF($D5="AttackHeavy",Inputs!$B$21/(Inputs!$B$21+Inputs!$B$22),IF($D5="DefenseHeavy",Inputs!$B$23/(Inputs!$B$23+Inputs!$B$24),Inputs!$B$19/(Inputs!$B$19+Inputs!$B$20)))</f>
        <v/>
      </c>
      <c r="T5" s="62">
        <f>1-$S5</f>
        <v/>
      </c>
      <c r="U5" s="80">
        <f>IF($C5="Enhanced",Inputs!$B$18,1)</f>
        <v/>
      </c>
      <c r="V5" s="62">
        <f>CEILING($G5*$U5,1)</f>
        <v/>
      </c>
      <c r="W5" s="62">
        <f>CEILING($I5*$U5,1)</f>
        <v/>
      </c>
      <c r="X5" s="78">
        <f>CEILING(($V5)*($G5/MAX(1,Inputs!$B$29))*Inputs!$B$35,1)*$S5*$M5</f>
        <v/>
      </c>
      <c r="Y5" s="79">
        <f>IF(MAX(Skills!$J$5:$J$46)&gt;0,CEILING($F5/MAX(Skills!$J$5:$J$46),1),"")</f>
        <v/>
      </c>
      <c r="Z5" s="79">
        <f>ROUND(($X5*2)+($W5*0.4)+($F5/30)+($M5*4)+($K5*20)+($Y5*1.5),1)</f>
        <v/>
      </c>
      <c r="AA5" s="79" t="inlineStr">
        <is>
          <t>Assets/Data/Enemies/01.asset</t>
        </is>
      </c>
    </row>
    <row r="6">
      <c r="A6" s="45" t="inlineStr">
        <is>
          <t>속박된 전율</t>
        </is>
      </c>
      <c r="B6" s="46" t="inlineStr">
        <is>
          <t>Normal</t>
        </is>
      </c>
      <c r="C6" s="46" t="inlineStr">
        <is>
          <t>Normal</t>
        </is>
      </c>
      <c r="D6" s="46" t="inlineStr">
        <is>
          <t>Balanced</t>
        </is>
      </c>
      <c r="E6" s="70" t="inlineStr">
        <is>
          <t>FearThenDarkness</t>
        </is>
      </c>
      <c r="F6" s="70" t="n">
        <v>190</v>
      </c>
      <c r="G6" s="70" t="n">
        <v>5</v>
      </c>
      <c r="H6" s="70" t="n">
        <v>0</v>
      </c>
      <c r="I6" s="70" t="n">
        <v>5</v>
      </c>
      <c r="J6" s="70" t="n">
        <v>2</v>
      </c>
      <c r="K6" s="70" t="n">
        <v>0</v>
      </c>
      <c r="L6" s="64" t="n">
        <v>1.5</v>
      </c>
      <c r="M6" s="64" t="n">
        <v>1</v>
      </c>
      <c r="N6" s="64" t="n">
        <v>3</v>
      </c>
      <c r="O6" s="62" t="inlineStr">
        <is>
          <t>철벽</t>
        </is>
      </c>
      <c r="P6" s="62" t="inlineStr">
        <is>
          <t>육중한 압박</t>
        </is>
      </c>
      <c r="Q6" s="62" t="inlineStr">
        <is>
          <t>방어 읽기</t>
        </is>
      </c>
      <c r="R6" s="62" t="inlineStr">
        <is>
          <t>낮은 자세</t>
        </is>
      </c>
      <c r="S6" s="80">
        <f>IF($D6="AttackHeavy",Inputs!$B$21/(Inputs!$B$21+Inputs!$B$22),IF($D6="DefenseHeavy",Inputs!$B$23/(Inputs!$B$23+Inputs!$B$24),Inputs!$B$19/(Inputs!$B$19+Inputs!$B$20)))</f>
        <v/>
      </c>
      <c r="T6" s="62">
        <f>1-$S6</f>
        <v/>
      </c>
      <c r="U6" s="80">
        <f>IF($C6="Enhanced",Inputs!$B$18,1)</f>
        <v/>
      </c>
      <c r="V6" s="62">
        <f>CEILING($G6*$U6,1)</f>
        <v/>
      </c>
      <c r="W6" s="62">
        <f>CEILING($I6*$U6,1)</f>
        <v/>
      </c>
      <c r="X6" s="78">
        <f>CEILING(($V6)*($G6/MAX(1,Inputs!$B$29))*Inputs!$B$35,1)*$S6*$M6</f>
        <v/>
      </c>
      <c r="Y6" s="79">
        <f>IF(MAX(Skills!$J$5:$J$46)&gt;0,CEILING($F6/MAX(Skills!$J$5:$J$46),1),"")</f>
        <v/>
      </c>
      <c r="Z6" s="79">
        <f>ROUND(($X6*2)+($W6*0.4)+($F6/30)+($M6*4)+($K6*20)+($Y6*1.5),1)</f>
        <v/>
      </c>
      <c r="AA6" s="79" t="inlineStr">
        <is>
          <t>Assets/Data/Enemies/02.asset</t>
        </is>
      </c>
    </row>
    <row r="7">
      <c r="A7" s="45" t="inlineStr">
        <is>
          <t>거짓된 미소</t>
        </is>
      </c>
      <c r="B7" s="46" t="inlineStr">
        <is>
          <t>Normal</t>
        </is>
      </c>
      <c r="C7" s="46" t="inlineStr">
        <is>
          <t>Normal</t>
        </is>
      </c>
      <c r="D7" s="46" t="inlineStr">
        <is>
          <t>Balanced</t>
        </is>
      </c>
      <c r="E7" s="70" t="inlineStr">
        <is>
          <t>DarknessThenFear</t>
        </is>
      </c>
      <c r="F7" s="70" t="n">
        <v>140</v>
      </c>
      <c r="G7" s="70" t="n">
        <v>4</v>
      </c>
      <c r="H7" s="70" t="n">
        <v>0</v>
      </c>
      <c r="I7" s="70" t="n">
        <v>4</v>
      </c>
      <c r="J7" s="70" t="n">
        <v>2</v>
      </c>
      <c r="K7" s="70" t="n">
        <v>0</v>
      </c>
      <c r="L7" s="64" t="n">
        <v>1.5</v>
      </c>
      <c r="M7" s="64" t="n">
        <v>1</v>
      </c>
      <c r="N7" s="64" t="n">
        <v>3</v>
      </c>
      <c r="O7" s="62" t="inlineStr">
        <is>
          <t>독 묻히기</t>
        </is>
      </c>
      <c r="P7" s="62" t="inlineStr">
        <is>
          <t>어둠의 족쇄</t>
        </is>
      </c>
      <c r="Q7" s="62" t="inlineStr">
        <is>
          <t>강타</t>
        </is>
      </c>
      <c r="R7" s="62" t="inlineStr">
        <is>
          <t>낮은 자세</t>
        </is>
      </c>
      <c r="S7" s="80">
        <f>IF($D7="AttackHeavy",Inputs!$B$21/(Inputs!$B$21+Inputs!$B$22),IF($D7="DefenseHeavy",Inputs!$B$23/(Inputs!$B$23+Inputs!$B$24),Inputs!$B$19/(Inputs!$B$19+Inputs!$B$20)))</f>
        <v/>
      </c>
      <c r="T7" s="62">
        <f>1-$S7</f>
        <v/>
      </c>
      <c r="U7" s="80">
        <f>IF($C7="Enhanced",Inputs!$B$18,1)</f>
        <v/>
      </c>
      <c r="V7" s="62">
        <f>CEILING($G7*$U7,1)</f>
        <v/>
      </c>
      <c r="W7" s="62">
        <f>CEILING($I7*$U7,1)</f>
        <v/>
      </c>
      <c r="X7" s="78">
        <f>CEILING(($V7)*($G7/MAX(1,Inputs!$B$29))*Inputs!$B$35,1)*$S7*$M7</f>
        <v/>
      </c>
      <c r="Y7" s="79">
        <f>IF(MAX(Skills!$J$5:$J$46)&gt;0,CEILING($F7/MAX(Skills!$J$5:$J$46),1),"")</f>
        <v/>
      </c>
      <c r="Z7" s="79">
        <f>ROUND(($X7*2)+($W7*0.4)+($F7/30)+($M7*4)+($K7*20)+($Y7*1.5),1)</f>
        <v/>
      </c>
      <c r="AA7" s="79" t="inlineStr">
        <is>
          <t>Assets/Data/Enemies/03.asset</t>
        </is>
      </c>
    </row>
    <row r="8">
      <c r="A8" s="45" t="inlineStr">
        <is>
          <t>푸른심장</t>
        </is>
      </c>
      <c r="B8" s="46" t="inlineStr">
        <is>
          <t>Normal</t>
        </is>
      </c>
      <c r="C8" s="46" t="inlineStr">
        <is>
          <t>Normal</t>
        </is>
      </c>
      <c r="D8" s="46" t="inlineStr">
        <is>
          <t>Balanced</t>
        </is>
      </c>
      <c r="E8" s="70" t="inlineStr">
        <is>
          <t>DarknessThenFear</t>
        </is>
      </c>
      <c r="F8" s="70" t="n">
        <v>180</v>
      </c>
      <c r="G8" s="70" t="n">
        <v>5</v>
      </c>
      <c r="H8" s="70" t="n">
        <v>0</v>
      </c>
      <c r="I8" s="70" t="n">
        <v>4</v>
      </c>
      <c r="J8" s="70" t="n">
        <v>2</v>
      </c>
      <c r="K8" s="70" t="n">
        <v>0</v>
      </c>
      <c r="L8" s="64" t="n">
        <v>1.5</v>
      </c>
      <c r="M8" s="64" t="n">
        <v>1</v>
      </c>
      <c r="N8" s="64" t="n">
        <v>3</v>
      </c>
      <c r="O8" s="62" t="inlineStr">
        <is>
          <t>균열 낙인</t>
        </is>
      </c>
      <c r="P8" s="62" t="inlineStr">
        <is>
          <t>어둠의 족쇄</t>
        </is>
      </c>
      <c r="Q8" s="62" t="inlineStr">
        <is>
          <t>낮은 자세</t>
        </is>
      </c>
      <c r="R8" s="62" t="inlineStr">
        <is>
          <t>봉인</t>
        </is>
      </c>
      <c r="S8" s="80">
        <f>IF($D8="AttackHeavy",Inputs!$B$21/(Inputs!$B$21+Inputs!$B$22),IF($D8="DefenseHeavy",Inputs!$B$23/(Inputs!$B$23+Inputs!$B$24),Inputs!$B$19/(Inputs!$B$19+Inputs!$B$20)))</f>
        <v/>
      </c>
      <c r="T8" s="62">
        <f>1-$S8</f>
        <v/>
      </c>
      <c r="U8" s="80">
        <f>IF($C8="Enhanced",Inputs!$B$18,1)</f>
        <v/>
      </c>
      <c r="V8" s="62">
        <f>CEILING($G8*$U8,1)</f>
        <v/>
      </c>
      <c r="W8" s="62">
        <f>CEILING($I8*$U8,1)</f>
        <v/>
      </c>
      <c r="X8" s="78">
        <f>CEILING(($V8)*($G8/MAX(1,Inputs!$B$29))*Inputs!$B$35,1)*$S8*$M8</f>
        <v/>
      </c>
      <c r="Y8" s="79">
        <f>IF(MAX(Skills!$J$5:$J$46)&gt;0,CEILING($F8/MAX(Skills!$J$5:$J$46),1),"")</f>
        <v/>
      </c>
      <c r="Z8" s="79">
        <f>ROUND(($X8*2)+($W8*0.4)+($F8/30)+($M8*4)+($K8*20)+($Y8*1.5),1)</f>
        <v/>
      </c>
      <c r="AA8" s="79" t="inlineStr">
        <is>
          <t>Assets/Data/Enemies/04.asset</t>
        </is>
      </c>
    </row>
    <row r="9">
      <c r="A9" s="45" t="inlineStr">
        <is>
          <t>푸른귀 들쥐</t>
        </is>
      </c>
      <c r="B9" s="46" t="inlineStr">
        <is>
          <t>Elite</t>
        </is>
      </c>
      <c r="C9" s="46" t="inlineStr">
        <is>
          <t>Enhanced</t>
        </is>
      </c>
      <c r="D9" s="46" t="inlineStr">
        <is>
          <t>AttackHeavy</t>
        </is>
      </c>
      <c r="E9" s="70" t="inlineStr">
        <is>
          <t>FearThenDarkness</t>
        </is>
      </c>
      <c r="F9" s="70" t="n">
        <v>150</v>
      </c>
      <c r="G9" s="70" t="n">
        <v>6</v>
      </c>
      <c r="H9" s="70" t="n">
        <v>0</v>
      </c>
      <c r="I9" s="70" t="n">
        <v>2</v>
      </c>
      <c r="J9" s="70" t="n">
        <v>1</v>
      </c>
      <c r="K9" s="70" t="n">
        <v>0</v>
      </c>
      <c r="L9" s="64" t="n">
        <v>1.5</v>
      </c>
      <c r="M9" s="64" t="n">
        <v>2</v>
      </c>
      <c r="N9" s="64" t="n">
        <v>3</v>
      </c>
      <c r="O9" s="62" t="inlineStr">
        <is>
          <t>빠른 찌르기</t>
        </is>
      </c>
      <c r="P9" s="62" t="inlineStr">
        <is>
          <t>마무리</t>
        </is>
      </c>
      <c r="Q9" s="62" t="inlineStr">
        <is>
          <t>낮은 자세</t>
        </is>
      </c>
      <c r="R9" s="62" t="inlineStr">
        <is>
          <t>출혈 베기</t>
        </is>
      </c>
      <c r="S9" s="80">
        <f>IF($D9="AttackHeavy",Inputs!$B$21/(Inputs!$B$21+Inputs!$B$22),IF($D9="DefenseHeavy",Inputs!$B$23/(Inputs!$B$23+Inputs!$B$24),Inputs!$B$19/(Inputs!$B$19+Inputs!$B$20)))</f>
        <v/>
      </c>
      <c r="T9" s="62">
        <f>1-$S9</f>
        <v/>
      </c>
      <c r="U9" s="80">
        <f>IF($C9="Enhanced",Inputs!$B$18,1)</f>
        <v/>
      </c>
      <c r="V9" s="62">
        <f>CEILING($G9*$U9,1)</f>
        <v/>
      </c>
      <c r="W9" s="62">
        <f>CEILING($I9*$U9,1)</f>
        <v/>
      </c>
      <c r="X9" s="78">
        <f>CEILING(($V9)*($G9/MAX(1,Inputs!$B$29))*Inputs!$B$35,1)*$S9*$M9</f>
        <v/>
      </c>
      <c r="Y9" s="79">
        <f>IF(MAX(Skills!$J$5:$J$46)&gt;0,CEILING($F9/MAX(Skills!$J$5:$J$46),1),"")</f>
        <v/>
      </c>
      <c r="Z9" s="79">
        <f>ROUND(($X9*2)+($W9*0.4)+($F9/30)+($M9*4)+($K9*20)+($Y9*1.5),1)</f>
        <v/>
      </c>
      <c r="AA9" s="79" t="inlineStr">
        <is>
          <t>Assets/Data/Enemies/05.asset</t>
        </is>
      </c>
    </row>
    <row r="10">
      <c r="A10" s="45" t="inlineStr">
        <is>
          <t>물결치는 역병</t>
        </is>
      </c>
      <c r="B10" s="46" t="inlineStr">
        <is>
          <t>Normal</t>
        </is>
      </c>
      <c r="C10" s="46" t="inlineStr">
        <is>
          <t>Enhanced</t>
        </is>
      </c>
      <c r="D10" s="46" t="inlineStr">
        <is>
          <t>AttackHeavy</t>
        </is>
      </c>
      <c r="E10" s="70" t="inlineStr">
        <is>
          <t>FearThenDarkness</t>
        </is>
      </c>
      <c r="F10" s="70" t="n">
        <v>210</v>
      </c>
      <c r="G10" s="70" t="n">
        <v>7</v>
      </c>
      <c r="H10" s="70" t="n">
        <v>0</v>
      </c>
      <c r="I10" s="70" t="n">
        <v>3</v>
      </c>
      <c r="J10" s="70" t="n">
        <v>2</v>
      </c>
      <c r="K10" s="70" t="n">
        <v>0</v>
      </c>
      <c r="L10" s="64" t="n">
        <v>1.5</v>
      </c>
      <c r="M10" s="64" t="n">
        <v>2</v>
      </c>
      <c r="N10" s="64" t="n">
        <v>2</v>
      </c>
      <c r="O10" s="62" t="inlineStr">
        <is>
          <t>생명 흡수</t>
        </is>
      </c>
      <c r="P10" s="62" t="inlineStr">
        <is>
          <t>피의 이빨</t>
        </is>
      </c>
      <c r="Q10" s="62" t="inlineStr">
        <is>
          <t>이악물기</t>
        </is>
      </c>
      <c r="R10" s="62" t="inlineStr">
        <is>
          <t>상처 벌리기</t>
        </is>
      </c>
      <c r="S10" s="80">
        <f>IF($D10="AttackHeavy",Inputs!$B$21/(Inputs!$B$21+Inputs!$B$22),IF($D10="DefenseHeavy",Inputs!$B$23/(Inputs!$B$23+Inputs!$B$24),Inputs!$B$19/(Inputs!$B$19+Inputs!$B$20)))</f>
        <v/>
      </c>
      <c r="T10" s="62">
        <f>1-$S10</f>
        <v/>
      </c>
      <c r="U10" s="80">
        <f>IF($C10="Enhanced",Inputs!$B$18,1)</f>
        <v/>
      </c>
      <c r="V10" s="80">
        <f>CEILING($G10*$U10,1)</f>
        <v/>
      </c>
      <c r="W10" s="80">
        <f>CEILING($I10*$U10,1)</f>
        <v/>
      </c>
      <c r="X10" s="78">
        <f>CEILING(($V10)*($G10/MAX(1,Inputs!$B$29))*Inputs!$B$35,1)*$S10*$M10</f>
        <v/>
      </c>
      <c r="Y10" s="79">
        <f>IF(MAX(Skills!$J$5:$J$46)&gt;0,CEILING($F10/MAX(Skills!$J$5:$J$46),1),"")</f>
        <v/>
      </c>
      <c r="Z10" s="79">
        <f>ROUND(($X10*2)+($W10*0.4)+($F10/30)+($M10*4)+($K10*20)+($Y10*1.5),1)</f>
        <v/>
      </c>
      <c r="AA10" s="79" t="inlineStr">
        <is>
          <t>Assets/Data/Enemies/06.asset</t>
        </is>
      </c>
    </row>
    <row r="11">
      <c r="A11" s="45" t="inlineStr">
        <is>
          <t>외눈 추적자</t>
        </is>
      </c>
      <c r="B11" s="46" t="inlineStr">
        <is>
          <t>Normal</t>
        </is>
      </c>
      <c r="C11" s="46" t="inlineStr">
        <is>
          <t>Normal</t>
        </is>
      </c>
      <c r="D11" s="46" t="inlineStr">
        <is>
          <t>AttackHeavy</t>
        </is>
      </c>
      <c r="E11" s="70" t="inlineStr">
        <is>
          <t>DarknessThenFear</t>
        </is>
      </c>
      <c r="F11" s="70" t="n">
        <v>170</v>
      </c>
      <c r="G11" s="70" t="n">
        <v>6</v>
      </c>
      <c r="H11" s="70" t="n">
        <v>0</v>
      </c>
      <c r="I11" s="70" t="n">
        <v>3</v>
      </c>
      <c r="J11" s="70" t="n">
        <v>2</v>
      </c>
      <c r="K11" s="70" t="n">
        <v>0</v>
      </c>
      <c r="L11" s="64" t="n">
        <v>1.5</v>
      </c>
      <c r="M11" s="64" t="n">
        <v>2</v>
      </c>
      <c r="N11" s="64" t="n">
        <v>3</v>
      </c>
      <c r="O11" s="62" t="inlineStr">
        <is>
          <t>독 묻히기</t>
        </is>
      </c>
      <c r="P11" s="62" t="inlineStr">
        <is>
          <t>어둠의 족쇄</t>
        </is>
      </c>
      <c r="Q11" s="62" t="inlineStr">
        <is>
          <t>상처 벌리기</t>
        </is>
      </c>
      <c r="R11" s="62" t="inlineStr">
        <is>
          <t>낮은 자세</t>
        </is>
      </c>
      <c r="S11" s="80">
        <f>IF($D11="AttackHeavy",Inputs!$B$21/(Inputs!$B$21+Inputs!$B$22),IF($D11="DefenseHeavy",Inputs!$B$23/(Inputs!$B$23+Inputs!$B$24),Inputs!$B$19/(Inputs!$B$19+Inputs!$B$20)))</f>
        <v/>
      </c>
      <c r="T11" s="62">
        <f>1-$S11</f>
        <v/>
      </c>
      <c r="U11" s="80">
        <f>IF($C11="Enhanced",Inputs!$B$18,1)</f>
        <v/>
      </c>
      <c r="V11" s="80">
        <f>CEILING($G11*$U11,1)</f>
        <v/>
      </c>
      <c r="W11" s="80">
        <f>CEILING($I11*$U11,1)</f>
        <v/>
      </c>
      <c r="X11" s="78">
        <f>CEILING(($V11)*($G11/MAX(1,Inputs!$B$29))*Inputs!$B$35,1)*$S11*$M11</f>
        <v/>
      </c>
      <c r="Y11" s="79">
        <f>IF(MAX(Skills!$J$5:$J$46)&gt;0,CEILING($F11/MAX(Skills!$J$5:$J$46),1),"")</f>
        <v/>
      </c>
      <c r="Z11" s="79">
        <f>ROUND(($X11*2)+($W11*0.4)+($F11/30)+($M11*4)+($K11*20)+($Y11*1.5),1)</f>
        <v/>
      </c>
      <c r="AA11" s="79" t="inlineStr">
        <is>
          <t>Assets/Data/Enemies/07.asset</t>
        </is>
      </c>
    </row>
    <row r="12">
      <c r="A12" s="45" t="inlineStr">
        <is>
          <t>카르민느</t>
        </is>
      </c>
      <c r="B12" s="46" t="inlineStr">
        <is>
          <t>Normal</t>
        </is>
      </c>
      <c r="C12" s="46" t="inlineStr">
        <is>
          <t>Enhanced</t>
        </is>
      </c>
      <c r="D12" s="46" t="inlineStr">
        <is>
          <t>AttackHeavy</t>
        </is>
      </c>
      <c r="E12" s="70" t="inlineStr">
        <is>
          <t>DarknessThenFear</t>
        </is>
      </c>
      <c r="F12" s="70" t="n">
        <v>220</v>
      </c>
      <c r="G12" s="70" t="n">
        <v>7</v>
      </c>
      <c r="H12" s="70" t="n">
        <v>0</v>
      </c>
      <c r="I12" s="70" t="n">
        <v>3</v>
      </c>
      <c r="J12" s="70" t="n">
        <v>2</v>
      </c>
      <c r="K12" s="70" t="n">
        <v>0</v>
      </c>
      <c r="L12" s="64" t="n">
        <v>1.5</v>
      </c>
      <c r="M12" s="64" t="n">
        <v>2</v>
      </c>
      <c r="N12" s="64" t="n">
        <v>2</v>
      </c>
      <c r="O12" s="62" t="inlineStr">
        <is>
          <t>초과연소</t>
        </is>
      </c>
      <c r="P12" s="62" t="inlineStr">
        <is>
          <t>어둠의 족쇄</t>
        </is>
      </c>
      <c r="Q12" s="62" t="inlineStr">
        <is>
          <t>마무리</t>
        </is>
      </c>
      <c r="R12" s="62" t="inlineStr">
        <is>
          <t>낮은 자세</t>
        </is>
      </c>
      <c r="S12" s="80">
        <f>IF($D12="AttackHeavy",Inputs!$B$21/(Inputs!$B$21+Inputs!$B$22),IF($D12="DefenseHeavy",Inputs!$B$23/(Inputs!$B$23+Inputs!$B$24),Inputs!$B$19/(Inputs!$B$19+Inputs!$B$20)))</f>
        <v/>
      </c>
      <c r="T12" s="62">
        <f>1-$S12</f>
        <v/>
      </c>
      <c r="U12" s="80">
        <f>IF($C12="Enhanced",Inputs!$B$18,1)</f>
        <v/>
      </c>
      <c r="V12" s="80">
        <f>CEILING($G12*$U12,1)</f>
        <v/>
      </c>
      <c r="W12" s="80">
        <f>CEILING($I12*$U12,1)</f>
        <v/>
      </c>
      <c r="X12" s="78">
        <f>CEILING(($V12)*($G12/MAX(1,Inputs!$B$29))*Inputs!$B$35,1)*$S12*$M12</f>
        <v/>
      </c>
      <c r="Y12" s="79">
        <f>IF(MAX(Skills!$J$5:$J$46)&gt;0,CEILING($F12/MAX(Skills!$J$5:$J$46),1),"")</f>
        <v/>
      </c>
      <c r="Z12" s="79">
        <f>ROUND(($X12*2)+($W12*0.4)+($F12/30)+($M12*4)+($K12*20)+($Y12*1.5),1)</f>
        <v/>
      </c>
      <c r="AA12" s="79" t="inlineStr">
        <is>
          <t>Assets/Data/Enemies/08.asset</t>
        </is>
      </c>
    </row>
    <row r="13">
      <c r="A13" s="45" t="inlineStr">
        <is>
          <t>소용돌이치는 혼돈</t>
        </is>
      </c>
      <c r="B13" s="46" t="inlineStr">
        <is>
          <t>Normal</t>
        </is>
      </c>
      <c r="C13" s="46" t="inlineStr">
        <is>
          <t>Normal</t>
        </is>
      </c>
      <c r="D13" s="46" t="inlineStr">
        <is>
          <t>DefenseHeavy</t>
        </is>
      </c>
      <c r="E13" s="70" t="inlineStr">
        <is>
          <t>FearThenDarkness</t>
        </is>
      </c>
      <c r="F13" s="70" t="n">
        <v>180</v>
      </c>
      <c r="G13" s="70" t="n">
        <v>5</v>
      </c>
      <c r="H13" s="70" t="n">
        <v>0</v>
      </c>
      <c r="I13" s="70" t="n">
        <v>5</v>
      </c>
      <c r="J13" s="70" t="n">
        <v>1</v>
      </c>
      <c r="K13" s="70" t="n">
        <v>0</v>
      </c>
      <c r="L13" s="64" t="n">
        <v>1.5</v>
      </c>
      <c r="M13" s="64" t="n">
        <v>2</v>
      </c>
      <c r="N13" s="64" t="n">
        <v>3</v>
      </c>
      <c r="O13" s="62" t="inlineStr">
        <is>
          <t>낮은 자세</t>
        </is>
      </c>
      <c r="P13" s="62" t="inlineStr">
        <is>
          <t>가시 방어</t>
        </is>
      </c>
      <c r="Q13" s="62" t="inlineStr">
        <is>
          <t>방패 밀치기</t>
        </is>
      </c>
      <c r="R13" s="62" t="inlineStr">
        <is>
          <t>균열 낙인</t>
        </is>
      </c>
      <c r="S13" s="80">
        <f>IF($D13="AttackHeavy",Inputs!$B$21/(Inputs!$B$21+Inputs!$B$22),IF($D13="DefenseHeavy",Inputs!$B$23/(Inputs!$B$23+Inputs!$B$24),Inputs!$B$19/(Inputs!$B$19+Inputs!$B$20)))</f>
        <v/>
      </c>
      <c r="T13" s="62">
        <f>1-$S13</f>
        <v/>
      </c>
      <c r="U13" s="80">
        <f>IF($C13="Enhanced",Inputs!$B$18,1)</f>
        <v/>
      </c>
      <c r="V13" s="80">
        <f>CEILING($G13*$U13,1)</f>
        <v/>
      </c>
      <c r="W13" s="80">
        <f>CEILING($I13*$U13,1)</f>
        <v/>
      </c>
      <c r="X13" s="78">
        <f>CEILING(($V13)*($G13/MAX(1,Inputs!$B$29))*Inputs!$B$35,1)*$S13*$M13</f>
        <v/>
      </c>
      <c r="Y13" s="79">
        <f>IF(MAX(Skills!$J$5:$J$46)&gt;0,CEILING($F13/MAX(Skills!$J$5:$J$46),1),"")</f>
        <v/>
      </c>
      <c r="Z13" s="79">
        <f>ROUND(($X13*2)+($W13*0.4)+($F13/30)+($M13*4)+($K13*20)+($Y13*1.5),1)</f>
        <v/>
      </c>
      <c r="AA13" s="79" t="inlineStr">
        <is>
          <t>Assets/Data/Enemies/09.asset</t>
        </is>
      </c>
    </row>
    <row r="14">
      <c r="A14" s="45" t="inlineStr">
        <is>
          <t>나선뿔 목동</t>
        </is>
      </c>
      <c r="B14" s="46" t="inlineStr">
        <is>
          <t>Elite</t>
        </is>
      </c>
      <c r="C14" s="46" t="inlineStr">
        <is>
          <t>Enhanced</t>
        </is>
      </c>
      <c r="D14" s="46" t="inlineStr">
        <is>
          <t>DefenseHeavy</t>
        </is>
      </c>
      <c r="E14" s="70" t="inlineStr">
        <is>
          <t>FearThenDarkness</t>
        </is>
      </c>
      <c r="F14" s="70" t="n">
        <v>240</v>
      </c>
      <c r="G14" s="70" t="n">
        <v>5</v>
      </c>
      <c r="H14" s="70" t="n">
        <v>0</v>
      </c>
      <c r="I14" s="70" t="n">
        <v>6</v>
      </c>
      <c r="J14" s="70" t="n">
        <v>2</v>
      </c>
      <c r="K14" s="70" t="n">
        <v>0</v>
      </c>
      <c r="L14" s="64" t="n">
        <v>1.5</v>
      </c>
      <c r="M14" s="64" t="n">
        <v>3</v>
      </c>
      <c r="N14" s="64" t="n">
        <v>3</v>
      </c>
      <c r="O14" s="62" t="inlineStr">
        <is>
          <t>철벽</t>
        </is>
      </c>
      <c r="P14" s="62" t="inlineStr">
        <is>
          <t>육중한 압박</t>
        </is>
      </c>
      <c r="Q14" s="62" t="inlineStr">
        <is>
          <t>상처 벌리기</t>
        </is>
      </c>
      <c r="R14" s="62" t="inlineStr">
        <is>
          <t>방어 읽기</t>
        </is>
      </c>
      <c r="S14" s="80">
        <f>IF($D14="AttackHeavy",Inputs!$B$21/(Inputs!$B$21+Inputs!$B$22),IF($D14="DefenseHeavy",Inputs!$B$23/(Inputs!$B$23+Inputs!$B$24),Inputs!$B$19/(Inputs!$B$19+Inputs!$B$20)))</f>
        <v/>
      </c>
      <c r="T14" s="62">
        <f>1-$S14</f>
        <v/>
      </c>
      <c r="U14" s="80">
        <f>IF($C14="Enhanced",Inputs!$B$18,1)</f>
        <v/>
      </c>
      <c r="V14" s="80">
        <f>CEILING($G14*$U14,1)</f>
        <v/>
      </c>
      <c r="W14" s="80">
        <f>CEILING($I14*$U14,1)</f>
        <v/>
      </c>
      <c r="X14" s="78">
        <f>CEILING(($V14)*($G14/MAX(1,Inputs!$B$29))*Inputs!$B$35,1)*$S14*$M14</f>
        <v/>
      </c>
      <c r="Y14" s="79">
        <f>IF(MAX(Skills!$J$5:$J$46)&gt;0,CEILING($F14/MAX(Skills!$J$5:$J$46),1),"")</f>
        <v/>
      </c>
      <c r="Z14" s="79">
        <f>ROUND(($X14*2)+($W14*0.4)+($F14/30)+($M14*4)+($K14*20)+($Y14*1.5),1)</f>
        <v/>
      </c>
      <c r="AA14" s="79" t="inlineStr">
        <is>
          <t>Assets/Data/Enemies/10.asset</t>
        </is>
      </c>
    </row>
    <row r="15">
      <c r="A15" s="45" t="inlineStr">
        <is>
          <t>다층 갑각</t>
        </is>
      </c>
      <c r="B15" s="46" t="inlineStr">
        <is>
          <t>Boss</t>
        </is>
      </c>
      <c r="C15" s="46" t="inlineStr">
        <is>
          <t>Enhanced</t>
        </is>
      </c>
      <c r="D15" s="46" t="inlineStr">
        <is>
          <t>DefenseHeavy</t>
        </is>
      </c>
      <c r="E15" s="70" t="inlineStr">
        <is>
          <t>DarknessThenFear</t>
        </is>
      </c>
      <c r="F15" s="70" t="n">
        <v>200</v>
      </c>
      <c r="G15" s="70" t="n">
        <v>4</v>
      </c>
      <c r="H15" s="70" t="n">
        <v>0</v>
      </c>
      <c r="I15" s="70" t="n">
        <v>6</v>
      </c>
      <c r="J15" s="70" t="n">
        <v>1</v>
      </c>
      <c r="K15" s="70" t="n">
        <v>0</v>
      </c>
      <c r="L15" s="64" t="n">
        <v>1.5</v>
      </c>
      <c r="M15" s="64" t="n">
        <v>3</v>
      </c>
      <c r="N15" s="64" t="n">
        <v>4</v>
      </c>
      <c r="O15" s="62" t="inlineStr">
        <is>
          <t>깊은 암흑</t>
        </is>
      </c>
      <c r="P15" s="62" t="inlineStr">
        <is>
          <t>어둠의 족쇄</t>
        </is>
      </c>
      <c r="Q15" s="62" t="inlineStr">
        <is>
          <t>가시 방어</t>
        </is>
      </c>
      <c r="R15" s="62" t="inlineStr">
        <is>
          <t>봉인</t>
        </is>
      </c>
      <c r="S15" s="80">
        <f>IF($D15="AttackHeavy",Inputs!$B$21/(Inputs!$B$21+Inputs!$B$22),IF($D15="DefenseHeavy",Inputs!$B$23/(Inputs!$B$23+Inputs!$B$24),Inputs!$B$19/(Inputs!$B$19+Inputs!$B$20)))</f>
        <v/>
      </c>
      <c r="T15" s="62">
        <f>1-$S15</f>
        <v/>
      </c>
      <c r="U15" s="80">
        <f>IF($C15="Enhanced",Inputs!$B$18,1)</f>
        <v/>
      </c>
      <c r="V15" s="80">
        <f>CEILING($G15*$U15,1)</f>
        <v/>
      </c>
      <c r="W15" s="80">
        <f>CEILING($I15*$U15,1)</f>
        <v/>
      </c>
      <c r="X15" s="78">
        <f>CEILING(($V15)*($G15/MAX(1,Inputs!$B$29))*Inputs!$B$35,1)*$S15*$M15</f>
        <v/>
      </c>
      <c r="Y15" s="79">
        <f>IF(MAX(Skills!$J$5:$J$46)&gt;0,CEILING($F15/MAX(Skills!$J$5:$J$46),1),"")</f>
        <v/>
      </c>
      <c r="Z15" s="79">
        <f>ROUND(($X15*2)+($W15*0.4)+($F15/30)+($M15*4)+($K15*20)+($Y15*1.5),1)</f>
        <v/>
      </c>
      <c r="AA15" s="79" t="inlineStr">
        <is>
          <t>Assets/Data/Enemies/11.asset</t>
        </is>
      </c>
    </row>
    <row r="16">
      <c r="A16" s="45" t="inlineStr">
        <is>
          <t>네크릴라</t>
        </is>
      </c>
      <c r="B16" s="46" t="inlineStr">
        <is>
          <t>FinalBoss</t>
        </is>
      </c>
      <c r="C16" s="46" t="inlineStr">
        <is>
          <t>Enhanced</t>
        </is>
      </c>
      <c r="D16" s="46" t="inlineStr">
        <is>
          <t>DefenseHeavy</t>
        </is>
      </c>
      <c r="E16" s="70" t="inlineStr">
        <is>
          <t>DarknessThenFear</t>
        </is>
      </c>
      <c r="F16" s="70" t="n">
        <v>230</v>
      </c>
      <c r="G16" s="70" t="n">
        <v>5</v>
      </c>
      <c r="H16" s="70" t="n">
        <v>0</v>
      </c>
      <c r="I16" s="70" t="n">
        <v>6</v>
      </c>
      <c r="J16" s="70" t="n">
        <v>2</v>
      </c>
      <c r="K16" s="70" t="n">
        <v>0</v>
      </c>
      <c r="L16" s="64" t="n">
        <v>1.5</v>
      </c>
      <c r="M16" s="64" t="n">
        <v>3</v>
      </c>
      <c r="N16" s="64" t="n">
        <v>3</v>
      </c>
      <c r="O16" s="62" t="inlineStr">
        <is>
          <t>깊은 암흑</t>
        </is>
      </c>
      <c r="P16" s="62" t="inlineStr">
        <is>
          <t>검은 부식</t>
        </is>
      </c>
      <c r="Q16" s="62" t="inlineStr">
        <is>
          <t>가시 방어</t>
        </is>
      </c>
      <c r="R16" s="62" t="inlineStr">
        <is>
          <t>마무리</t>
        </is>
      </c>
      <c r="S16" s="80">
        <f>IF($D16="AttackHeavy",Inputs!$B$21/(Inputs!$B$21+Inputs!$B$22),IF($D16="DefenseHeavy",Inputs!$B$23/(Inputs!$B$23+Inputs!$B$24),Inputs!$B$19/(Inputs!$B$19+Inputs!$B$20)))</f>
        <v/>
      </c>
      <c r="T16" s="62">
        <f>1-$S16</f>
        <v/>
      </c>
      <c r="U16" s="80">
        <f>IF($C16="Enhanced",Inputs!$B$18,1)</f>
        <v/>
      </c>
      <c r="V16" s="80">
        <f>CEILING($G16*$U16,1)</f>
        <v/>
      </c>
      <c r="W16" s="80">
        <f>CEILING($I16*$U16,1)</f>
        <v/>
      </c>
      <c r="X16" s="78">
        <f>CEILING(($V16)*($G16/MAX(1,Inputs!$B$29))*Inputs!$B$35,1)*$S16*$M16</f>
        <v/>
      </c>
      <c r="Y16" s="79">
        <f>IF(MAX(Skills!$J$5:$J$46)&gt;0,CEILING($F16/MAX(Skills!$J$5:$J$46),1),"")</f>
        <v/>
      </c>
      <c r="Z16" s="79">
        <f>ROUND(($X16*2)+($W16*0.4)+($F16/30)+($M16*4)+($K16*20)+($Y16*1.5),1)</f>
        <v/>
      </c>
      <c r="AA16" s="79" t="inlineStr">
        <is>
          <t>Assets/Data/Enemies/12.asset</t>
        </is>
      </c>
    </row>
  </sheetData>
  <conditionalFormatting sqref="W5:W16">
    <cfRule type="colorScale" priority="1">
      <colorScale>
        <cfvo type="min"/>
        <cfvo type="percentile" val="50"/>
        <cfvo type="max"/>
        <color rgb="00DFF4E7"/>
        <color rgb="00FFF3BF"/>
        <color rgb="00F4B6B6"/>
      </colorScale>
    </cfRule>
  </conditionalFormatting>
  <dataValidations count="4">
    <dataValidation sqref="B5:B16" showDropDown="0" showInputMessage="0" showErrorMessage="0" allowBlank="1" type="list">
      <formula1>=Lists!$D$2:$D$5</formula1>
    </dataValidation>
    <dataValidation sqref="C5:C16" showDropDown="0" showInputMessage="0" showErrorMessage="0" allowBlank="1" type="list">
      <formula1>=Lists!$E$2:$E$3</formula1>
    </dataValidation>
    <dataValidation sqref="D5:D16" showDropDown="0" showInputMessage="0" showErrorMessage="0" allowBlank="1" type="list">
      <formula1>=Lists!$B$2:$B$4</formula1>
    </dataValidation>
    <dataValidation sqref="E5:E16" showDropDown="0" showInputMessage="0" showErrorMessage="0" allowBlank="1" type="list">
      <formula1>=Lists!$C$2:$C$3</formula1>
    </dataValidation>
  </dataValidations>
  <pageMargins left="0.7" right="0.7" top="0.75" bottom="0.75" header="0.3" footer="0.3"/>
  <tableParts count="1">
    <tablePart ns1:id="rId1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Q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.079999923706055" customWidth="1" min="1" max="1"/>
    <col width="20" customWidth="1" min="2" max="2"/>
    <col width="12.10999965667725" customWidth="1" min="3" max="3"/>
    <col width="12.10999965667725" customWidth="1" min="4" max="4"/>
    <col width="10.09000015258789" customWidth="1" min="5" max="5"/>
    <col width="18" customWidth="1" min="6" max="6"/>
    <col width="18" customWidth="1" min="7" max="7"/>
    <col width="10.09000015258789" customWidth="1" min="8" max="8"/>
    <col width="12.10999965667725" customWidth="1" min="9" max="9"/>
    <col width="11.4399995803833" customWidth="1" min="10" max="10"/>
    <col width="15.47999954223633" customWidth="1" min="11" max="11"/>
    <col width="15.47999954223633" customWidth="1" min="12" max="12"/>
    <col width="15.47999954223633" customWidth="1" min="13" max="13"/>
    <col width="10.09000015258789" customWidth="1" min="14" max="14"/>
    <col width="10.77000045776367" customWidth="1" min="15" max="15"/>
    <col width="11.4399995803833" customWidth="1" min="16" max="16"/>
    <col width="18" customWidth="1" min="17" max="17"/>
  </cols>
  <sheetData>
    <row r="1" ht="25.5" customHeight="1">
      <c r="A1" s="65" t="inlineStr">
        <is>
          <t>전투 시뮬레이션</t>
        </is>
      </c>
    </row>
    <row r="2" ht="19.5" customHeight="1">
      <c r="A2" s="66" t="inlineStr">
        <is>
          <t>20스테이지 흐름과 현재 스킬/적 스탯을 연결한 단순 밸런스 점검표입니다.</t>
        </is>
      </c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</row>
    <row r="3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</row>
    <row r="4">
      <c r="A4" s="67" t="inlineStr">
        <is>
          <t>Stage</t>
        </is>
      </c>
      <c r="B4" s="67" t="inlineStr">
        <is>
          <t>Enemy</t>
        </is>
      </c>
      <c r="C4" s="67" t="inlineStr">
        <is>
          <t>Planned Turns</t>
        </is>
      </c>
      <c r="D4" s="67" t="inlineStr">
        <is>
          <t>Remaining Moves</t>
        </is>
      </c>
      <c r="E4" s="67" t="inlineStr">
        <is>
          <t>OverCost</t>
        </is>
      </c>
      <c r="F4" s="67" t="inlineStr">
        <is>
          <t>Main Attack Skill</t>
        </is>
      </c>
      <c r="G4" s="67" t="inlineStr">
        <is>
          <t>Main Defense Skill</t>
        </is>
      </c>
      <c r="H4" s="67" t="inlineStr">
        <is>
          <t>Enemy HP</t>
        </is>
      </c>
      <c r="I4" s="67" t="inlineStr">
        <is>
          <t>Attack Damage</t>
        </is>
      </c>
      <c r="J4" s="67" t="inlineStr">
        <is>
          <t>Hits Needed</t>
        </is>
      </c>
      <c r="K4" s="67" t="inlineStr">
        <is>
          <t>Enemy Exp Atk</t>
        </is>
      </c>
      <c r="L4" s="67" t="inlineStr">
        <is>
          <t>Block / Turn</t>
        </is>
      </c>
      <c r="M4" s="67" t="inlineStr">
        <is>
          <t>Expected Net Damage</t>
        </is>
      </c>
      <c r="N4" s="67" t="inlineStr">
        <is>
          <t>HP Risk</t>
        </is>
      </c>
      <c r="O4" s="67" t="inlineStr">
        <is>
          <t>Score</t>
        </is>
      </c>
      <c r="P4" s="67" t="inlineStr">
        <is>
          <t>Status</t>
        </is>
      </c>
      <c r="Q4" s="67" t="inlineStr">
        <is>
          <t>Notes</t>
        </is>
      </c>
    </row>
    <row r="5">
      <c r="A5" s="63" t="n">
        <v>1</v>
      </c>
      <c r="B5" s="70" t="inlineStr">
        <is>
          <t>그림자 늑대</t>
        </is>
      </c>
      <c r="C5" s="70" t="n">
        <v>6</v>
      </c>
      <c r="D5" s="70" t="n">
        <v>0</v>
      </c>
      <c r="E5" s="70" t="n">
        <v>0</v>
      </c>
      <c r="F5" s="46" t="inlineStr">
        <is>
          <t>빛 발사</t>
        </is>
      </c>
      <c r="G5" s="46" t="inlineStr">
        <is>
          <t>낮은 자세</t>
        </is>
      </c>
      <c r="H5" s="62">
        <f>IFERROR(INDEX(Enemies!$F$5:$F$16,MATCH($B5,Enemies!$A$5:$A$16,0)),"")</f>
        <v/>
      </c>
      <c r="I5" s="62">
        <f>IFERROR(INDEX(Skills!$J$5:$J$46,MATCH($F5,Skills!$B$5:$B$46,0)),0)</f>
        <v/>
      </c>
      <c r="J5" s="62">
        <f>IF(OR($H5="",$I5&lt;=0),"",CEILING($H5/$I5,1))</f>
        <v/>
      </c>
      <c r="K5" s="62">
        <f>IFERROR(INDEX(Enemies!$X$5:$X$16,MATCH($B5,Enemies!$A$5:$A$16,0)),0)</f>
        <v/>
      </c>
      <c r="L5" s="62">
        <f>IFERROR(INDEX(Skills!$K$5:$K$46,MATCH($G5,Skills!$B$5:$B$46,0)),0)</f>
        <v/>
      </c>
      <c r="M5" s="62">
        <f>MAX(0,$C5*$K5-$C5*$L5)</f>
        <v/>
      </c>
      <c r="N5" s="64">
        <f>IF(Inputs!$B$4&gt;0,$M5/Inputs!$B$4,0)</f>
        <v/>
      </c>
      <c r="O5" s="63">
        <f>MAX(Inputs!$B$16,IFERROR(INDEX(Enemies!$Z$5:$Z$16,MATCH($B5,Enemies!$A$5:$A$16,0)),0)*Inputs!$B$12+$D5*Inputs!$B$13+$E5*Inputs!$B$14-$C5*Inputs!$B$15)</f>
        <v/>
      </c>
      <c r="P5" s="45">
        <f>IF($J5="","스킬 확인",IF($C5&lt;$J5,"공격 부족",IF($N5&gt;=1,"위험",IF($N5&gt;=0.6,"주의","OK"))))</f>
        <v/>
      </c>
      <c r="Q5" s="45" t="inlineStr">
        <is>
          <t>Normal</t>
        </is>
      </c>
    </row>
    <row r="6">
      <c r="A6" s="63" t="n">
        <v>2</v>
      </c>
      <c r="B6" s="70" t="inlineStr">
        <is>
          <t>속박된 전율</t>
        </is>
      </c>
      <c r="C6" s="70" t="n">
        <v>6</v>
      </c>
      <c r="D6" s="70" t="n">
        <v>0</v>
      </c>
      <c r="E6" s="70" t="n">
        <v>0</v>
      </c>
      <c r="F6" s="46" t="inlineStr">
        <is>
          <t>빛 발사</t>
        </is>
      </c>
      <c r="G6" s="46" t="inlineStr">
        <is>
          <t>낮은 자세</t>
        </is>
      </c>
      <c r="H6" s="62">
        <f>IFERROR(INDEX(Enemies!$F$5:$F$16,MATCH($B6,Enemies!$A$5:$A$16,0)),"")</f>
        <v/>
      </c>
      <c r="I6" s="62">
        <f>IFERROR(INDEX(Skills!$J$5:$J$46,MATCH($F6,Skills!$B$5:$B$46,0)),0)</f>
        <v/>
      </c>
      <c r="J6" s="62">
        <f>IF(OR($H6="",$I6&lt;=0),"",CEILING($H6/$I6,1))</f>
        <v/>
      </c>
      <c r="K6" s="62">
        <f>IFERROR(INDEX(Enemies!$X$5:$X$16,MATCH($B6,Enemies!$A$5:$A$16,0)),0)</f>
        <v/>
      </c>
      <c r="L6" s="62">
        <f>IFERROR(INDEX(Skills!$K$5:$K$46,MATCH($G6,Skills!$B$5:$B$46,0)),0)</f>
        <v/>
      </c>
      <c r="M6" s="62">
        <f>MAX(0,$C6*$K6-$C6*$L6)</f>
        <v/>
      </c>
      <c r="N6" s="64">
        <f>IF(Inputs!$B$4&gt;0,$M6/Inputs!$B$4,0)</f>
        <v/>
      </c>
      <c r="O6" s="63">
        <f>MAX(Inputs!$B$16,IFERROR(INDEX(Enemies!$Z$5:$Z$16,MATCH($B6,Enemies!$A$5:$A$16,0)),0)*Inputs!$B$12+$D6*Inputs!$B$13+$E6*Inputs!$B$14-$C6*Inputs!$B$15)</f>
        <v/>
      </c>
      <c r="P6" s="45">
        <f>IF($J6="","스킬 확인",IF($C6&lt;$J6,"공격 부족",IF($N6&gt;=1,"위험",IF($N6&gt;=0.6,"주의","OK"))))</f>
        <v/>
      </c>
      <c r="Q6" s="45" t="inlineStr">
        <is>
          <t>Normal</t>
        </is>
      </c>
    </row>
    <row r="7">
      <c r="A7" s="63" t="n">
        <v>3</v>
      </c>
      <c r="B7" s="70" t="inlineStr">
        <is>
          <t>거짓된 미소</t>
        </is>
      </c>
      <c r="C7" s="70" t="n">
        <v>6</v>
      </c>
      <c r="D7" s="70" t="n">
        <v>0</v>
      </c>
      <c r="E7" s="70" t="n">
        <v>0</v>
      </c>
      <c r="F7" s="46" t="inlineStr">
        <is>
          <t>빛 발사</t>
        </is>
      </c>
      <c r="G7" s="46" t="inlineStr">
        <is>
          <t>낮은 자세</t>
        </is>
      </c>
      <c r="H7" s="62">
        <f>IFERROR(INDEX(Enemies!$F$5:$F$16,MATCH($B7,Enemies!$A$5:$A$16,0)),"")</f>
        <v/>
      </c>
      <c r="I7" s="62">
        <f>IFERROR(INDEX(Skills!$J$5:$J$46,MATCH($F7,Skills!$B$5:$B$46,0)),0)</f>
        <v/>
      </c>
      <c r="J7" s="62">
        <f>IF(OR($H7="",$I7&lt;=0),"",CEILING($H7/$I7,1))</f>
        <v/>
      </c>
      <c r="K7" s="62">
        <f>IFERROR(INDEX(Enemies!$X$5:$X$16,MATCH($B7,Enemies!$A$5:$A$16,0)),0)</f>
        <v/>
      </c>
      <c r="L7" s="62">
        <f>IFERROR(INDEX(Skills!$K$5:$K$46,MATCH($G7,Skills!$B$5:$B$46,0)),0)</f>
        <v/>
      </c>
      <c r="M7" s="62">
        <f>MAX(0,$C7*$K7-$C7*$L7)</f>
        <v/>
      </c>
      <c r="N7" s="64">
        <f>IF(Inputs!$B$4&gt;0,$M7/Inputs!$B$4,0)</f>
        <v/>
      </c>
      <c r="O7" s="63">
        <f>MAX(Inputs!$B$16,IFERROR(INDEX(Enemies!$Z$5:$Z$16,MATCH($B7,Enemies!$A$5:$A$16,0)),0)*Inputs!$B$12+$D7*Inputs!$B$13+$E7*Inputs!$B$14-$C7*Inputs!$B$15)</f>
        <v/>
      </c>
      <c r="P7" s="45">
        <f>IF($J7="","스킬 확인",IF($C7&lt;$J7,"공격 부족",IF($N7&gt;=1,"위험",IF($N7&gt;=0.6,"주의","OK"))))</f>
        <v/>
      </c>
      <c r="Q7" s="45" t="inlineStr">
        <is>
          <t>Normal</t>
        </is>
      </c>
    </row>
    <row r="8">
      <c r="A8" s="63" t="n">
        <v>4</v>
      </c>
      <c r="B8" s="70" t="inlineStr">
        <is>
          <t>푸른심장</t>
        </is>
      </c>
      <c r="C8" s="70" t="n">
        <v>6</v>
      </c>
      <c r="D8" s="70" t="n">
        <v>0</v>
      </c>
      <c r="E8" s="70" t="n">
        <v>0</v>
      </c>
      <c r="F8" s="46" t="inlineStr">
        <is>
          <t>빛 발사</t>
        </is>
      </c>
      <c r="G8" s="46" t="inlineStr">
        <is>
          <t>낮은 자세</t>
        </is>
      </c>
      <c r="H8" s="62">
        <f>IFERROR(INDEX(Enemies!$F$5:$F$16,MATCH($B8,Enemies!$A$5:$A$16,0)),"")</f>
        <v/>
      </c>
      <c r="I8" s="62">
        <f>IFERROR(INDEX(Skills!$J$5:$J$46,MATCH($F8,Skills!$B$5:$B$46,0)),0)</f>
        <v/>
      </c>
      <c r="J8" s="62">
        <f>IF(OR($H8="",$I8&lt;=0),"",CEILING($H8/$I8,1))</f>
        <v/>
      </c>
      <c r="K8" s="62">
        <f>IFERROR(INDEX(Enemies!$X$5:$X$16,MATCH($B8,Enemies!$A$5:$A$16,0)),0)</f>
        <v/>
      </c>
      <c r="L8" s="62">
        <f>IFERROR(INDEX(Skills!$K$5:$K$46,MATCH($G8,Skills!$B$5:$B$46,0)),0)</f>
        <v/>
      </c>
      <c r="M8" s="62">
        <f>MAX(0,$C8*$K8-$C8*$L8)</f>
        <v/>
      </c>
      <c r="N8" s="64">
        <f>IF(Inputs!$B$4&gt;0,$M8/Inputs!$B$4,0)</f>
        <v/>
      </c>
      <c r="O8" s="63">
        <f>MAX(Inputs!$B$16,IFERROR(INDEX(Enemies!$Z$5:$Z$16,MATCH($B8,Enemies!$A$5:$A$16,0)),0)*Inputs!$B$12+$D8*Inputs!$B$13+$E8*Inputs!$B$14-$C8*Inputs!$B$15)</f>
        <v/>
      </c>
      <c r="P8" s="45">
        <f>IF($J8="","스킬 확인",IF($C8&lt;$J8,"공격 부족",IF($N8&gt;=1,"위험",IF($N8&gt;=0.6,"주의","OK"))))</f>
        <v/>
      </c>
      <c r="Q8" s="45" t="inlineStr">
        <is>
          <t>Normal</t>
        </is>
      </c>
    </row>
    <row r="9">
      <c r="A9" s="63" t="n">
        <v>5</v>
      </c>
      <c r="B9" s="70" t="inlineStr">
        <is>
          <t>푸른귀 들쥐</t>
        </is>
      </c>
      <c r="C9" s="70" t="n">
        <v>8</v>
      </c>
      <c r="D9" s="70" t="n">
        <v>0</v>
      </c>
      <c r="E9" s="70" t="n">
        <v>0</v>
      </c>
      <c r="F9" s="46" t="inlineStr">
        <is>
          <t>빛 발사</t>
        </is>
      </c>
      <c r="G9" s="46" t="inlineStr">
        <is>
          <t>낮은 자세</t>
        </is>
      </c>
      <c r="H9" s="62">
        <f>IFERROR(INDEX(Enemies!$F$5:$F$16,MATCH($B9,Enemies!$A$5:$A$16,0)),"")</f>
        <v/>
      </c>
      <c r="I9" s="62">
        <f>IFERROR(INDEX(Skills!$J$5:$J$46,MATCH($F9,Skills!$B$5:$B$46,0)),0)</f>
        <v/>
      </c>
      <c r="J9" s="62">
        <f>IF(OR($H9="",$I9&lt;=0),"",CEILING($H9/$I9,1))</f>
        <v/>
      </c>
      <c r="K9" s="62">
        <f>IFERROR(INDEX(Enemies!$X$5:$X$16,MATCH($B9,Enemies!$A$5:$A$16,0)),0)</f>
        <v/>
      </c>
      <c r="L9" s="62">
        <f>IFERROR(INDEX(Skills!$K$5:$K$46,MATCH($G9,Skills!$B$5:$B$46,0)),0)</f>
        <v/>
      </c>
      <c r="M9" s="62">
        <f>MAX(0,$C9*$K9-$C9*$L9)</f>
        <v/>
      </c>
      <c r="N9" s="64">
        <f>IF(Inputs!$B$4&gt;0,$M9/Inputs!$B$4,0)</f>
        <v/>
      </c>
      <c r="O9" s="63">
        <f>MAX(Inputs!$B$16,IFERROR(INDEX(Enemies!$Z$5:$Z$16,MATCH($B9,Enemies!$A$5:$A$16,0)),0)*Inputs!$B$12+$D9*Inputs!$B$13+$E9*Inputs!$B$14-$C9*Inputs!$B$15)</f>
        <v/>
      </c>
      <c r="P9" s="45">
        <f>IF($J9="","스킬 확인",IF($C9&lt;$J9,"공격 부족",IF($N9&gt;=1,"위험",IF($N9&gt;=0.6,"주의","OK"))))</f>
        <v/>
      </c>
      <c r="Q9" s="45" t="inlineStr">
        <is>
          <t>Elite</t>
        </is>
      </c>
    </row>
    <row r="10">
      <c r="A10" s="63" t="n">
        <v>6</v>
      </c>
      <c r="B10" s="70" t="inlineStr">
        <is>
          <t>물결치는 역병</t>
        </is>
      </c>
      <c r="C10" s="70" t="n">
        <v>8</v>
      </c>
      <c r="D10" s="70" t="n">
        <v>0</v>
      </c>
      <c r="E10" s="70" t="n">
        <v>0</v>
      </c>
      <c r="F10" s="46" t="inlineStr">
        <is>
          <t>빛 발사</t>
        </is>
      </c>
      <c r="G10" s="46" t="inlineStr">
        <is>
          <t>낮은 자세</t>
        </is>
      </c>
      <c r="H10" s="62">
        <f>IFERROR(INDEX(Enemies!$F$5:$F$16,MATCH($B10,Enemies!$A$5:$A$16,0)),"")</f>
        <v/>
      </c>
      <c r="I10" s="62">
        <f>IFERROR(INDEX(Skills!$J$5:$J$46,MATCH($F10,Skills!$B$5:$B$46,0)),0)</f>
        <v/>
      </c>
      <c r="J10" s="62">
        <f>IF(OR($H10="",$I10&lt;=0),"",CEILING($H10/$I10,1))</f>
        <v/>
      </c>
      <c r="K10" s="62">
        <f>IFERROR(INDEX(Enemies!$X$5:$X$16,MATCH($B10,Enemies!$A$5:$A$16,0)),0)</f>
        <v/>
      </c>
      <c r="L10" s="62">
        <f>IFERROR(INDEX(Skills!$K$5:$K$46,MATCH($G10,Skills!$B$5:$B$46,0)),0)</f>
        <v/>
      </c>
      <c r="M10" s="62">
        <f>MAX(0,$C10*$K10-$C10*$L10)</f>
        <v/>
      </c>
      <c r="N10" s="64">
        <f>IF(Inputs!$B$4&gt;0,$M10/Inputs!$B$4,0)</f>
        <v/>
      </c>
      <c r="O10" s="63">
        <f>MAX(Inputs!$B$16,IFERROR(INDEX(Enemies!$Z$5:$Z$16,MATCH($B10,Enemies!$A$5:$A$16,0)),0)*Inputs!$B$12+$D10*Inputs!$B$13+$E10*Inputs!$B$14-$C10*Inputs!$B$15)</f>
        <v/>
      </c>
      <c r="P10" s="45">
        <f>IF($J10="","스킬 확인",IF($C10&lt;$J10,"공격 부족",IF($N10&gt;=1,"위험",IF($N10&gt;=0.6,"주의","OK"))))</f>
        <v/>
      </c>
      <c r="Q10" s="45" t="inlineStr">
        <is>
          <t>Normal</t>
        </is>
      </c>
    </row>
    <row r="11">
      <c r="A11" s="63" t="n">
        <v>7</v>
      </c>
      <c r="B11" s="70" t="inlineStr">
        <is>
          <t>외눈 추적자</t>
        </is>
      </c>
      <c r="C11" s="70" t="n">
        <v>8</v>
      </c>
      <c r="D11" s="70" t="n">
        <v>0</v>
      </c>
      <c r="E11" s="70" t="n">
        <v>0</v>
      </c>
      <c r="F11" s="46" t="inlineStr">
        <is>
          <t>빛 발사</t>
        </is>
      </c>
      <c r="G11" s="46" t="inlineStr">
        <is>
          <t>낮은 자세</t>
        </is>
      </c>
      <c r="H11" s="62">
        <f>IFERROR(INDEX(Enemies!$F$5:$F$16,MATCH($B11,Enemies!$A$5:$A$16,0)),"")</f>
        <v/>
      </c>
      <c r="I11" s="62">
        <f>IFERROR(INDEX(Skills!$J$5:$J$46,MATCH($F11,Skills!$B$5:$B$46,0)),0)</f>
        <v/>
      </c>
      <c r="J11" s="62">
        <f>IF(OR($H11="",$I11&lt;=0),"",CEILING($H11/$I11,1))</f>
        <v/>
      </c>
      <c r="K11" s="62">
        <f>IFERROR(INDEX(Enemies!$X$5:$X$16,MATCH($B11,Enemies!$A$5:$A$16,0)),0)</f>
        <v/>
      </c>
      <c r="L11" s="62">
        <f>IFERROR(INDEX(Skills!$K$5:$K$46,MATCH($G11,Skills!$B$5:$B$46,0)),0)</f>
        <v/>
      </c>
      <c r="M11" s="62">
        <f>MAX(0,$C11*$K11-$C11*$L11)</f>
        <v/>
      </c>
      <c r="N11" s="64">
        <f>IF(Inputs!$B$4&gt;0,$M11/Inputs!$B$4,0)</f>
        <v/>
      </c>
      <c r="O11" s="63">
        <f>MAX(Inputs!$B$16,IFERROR(INDEX(Enemies!$Z$5:$Z$16,MATCH($B11,Enemies!$A$5:$A$16,0)),0)*Inputs!$B$12+$D11*Inputs!$B$13+$E11*Inputs!$B$14-$C11*Inputs!$B$15)</f>
        <v/>
      </c>
      <c r="P11" s="45">
        <f>IF($J11="","스킬 확인",IF($C11&lt;$J11,"공격 부족",IF($N11&gt;=1,"위험",IF($N11&gt;=0.6,"주의","OK"))))</f>
        <v/>
      </c>
      <c r="Q11" s="45" t="inlineStr">
        <is>
          <t>Normal</t>
        </is>
      </c>
    </row>
    <row r="12">
      <c r="A12" s="63" t="n">
        <v>8</v>
      </c>
      <c r="B12" s="70" t="inlineStr">
        <is>
          <t>카르민느</t>
        </is>
      </c>
      <c r="C12" s="70" t="n">
        <v>8</v>
      </c>
      <c r="D12" s="70" t="n">
        <v>0</v>
      </c>
      <c r="E12" s="70" t="n">
        <v>0</v>
      </c>
      <c r="F12" s="46" t="inlineStr">
        <is>
          <t>빛 발사</t>
        </is>
      </c>
      <c r="G12" s="46" t="inlineStr">
        <is>
          <t>낮은 자세</t>
        </is>
      </c>
      <c r="H12" s="62">
        <f>IFERROR(INDEX(Enemies!$F$5:$F$16,MATCH($B12,Enemies!$A$5:$A$16,0)),"")</f>
        <v/>
      </c>
      <c r="I12" s="62">
        <f>IFERROR(INDEX(Skills!$J$5:$J$46,MATCH($F12,Skills!$B$5:$B$46,0)),0)</f>
        <v/>
      </c>
      <c r="J12" s="62">
        <f>IF(OR($H12="",$I12&lt;=0),"",CEILING($H12/$I12,1))</f>
        <v/>
      </c>
      <c r="K12" s="62">
        <f>IFERROR(INDEX(Enemies!$X$5:$X$16,MATCH($B12,Enemies!$A$5:$A$16,0)),0)</f>
        <v/>
      </c>
      <c r="L12" s="62">
        <f>IFERROR(INDEX(Skills!$K$5:$K$46,MATCH($G12,Skills!$B$5:$B$46,0)),0)</f>
        <v/>
      </c>
      <c r="M12" s="62">
        <f>MAX(0,$C12*$K12-$C12*$L12)</f>
        <v/>
      </c>
      <c r="N12" s="64">
        <f>IF(Inputs!$B$4&gt;0,$M12/Inputs!$B$4,0)</f>
        <v/>
      </c>
      <c r="O12" s="63">
        <f>MAX(Inputs!$B$16,IFERROR(INDEX(Enemies!$Z$5:$Z$16,MATCH($B12,Enemies!$A$5:$A$16,0)),0)*Inputs!$B$12+$D12*Inputs!$B$13+$E12*Inputs!$B$14-$C12*Inputs!$B$15)</f>
        <v/>
      </c>
      <c r="P12" s="45">
        <f>IF($J12="","스킬 확인",IF($C12&lt;$J12,"공격 부족",IF($N12&gt;=1,"위험",IF($N12&gt;=0.6,"주의","OK"))))</f>
        <v/>
      </c>
      <c r="Q12" s="45" t="inlineStr">
        <is>
          <t>Normal</t>
        </is>
      </c>
    </row>
    <row r="13">
      <c r="A13" s="63" t="n">
        <v>9</v>
      </c>
      <c r="B13" s="70" t="inlineStr">
        <is>
          <t>소용돌이치는 혼돈</t>
        </is>
      </c>
      <c r="C13" s="70" t="n">
        <v>8</v>
      </c>
      <c r="D13" s="70" t="n">
        <v>0</v>
      </c>
      <c r="E13" s="70" t="n">
        <v>0</v>
      </c>
      <c r="F13" s="46" t="inlineStr">
        <is>
          <t>빛 발사</t>
        </is>
      </c>
      <c r="G13" s="46" t="inlineStr">
        <is>
          <t>낮은 자세</t>
        </is>
      </c>
      <c r="H13" s="62">
        <f>IFERROR(INDEX(Enemies!$F$5:$F$16,MATCH($B13,Enemies!$A$5:$A$16,0)),"")</f>
        <v/>
      </c>
      <c r="I13" s="62">
        <f>IFERROR(INDEX(Skills!$J$5:$J$46,MATCH($F13,Skills!$B$5:$B$46,0)),0)</f>
        <v/>
      </c>
      <c r="J13" s="62">
        <f>IF(OR($H13="",$I13&lt;=0),"",CEILING($H13/$I13,1))</f>
        <v/>
      </c>
      <c r="K13" s="62">
        <f>IFERROR(INDEX(Enemies!$X$5:$X$16,MATCH($B13,Enemies!$A$5:$A$16,0)),0)</f>
        <v/>
      </c>
      <c r="L13" s="62">
        <f>IFERROR(INDEX(Skills!$K$5:$K$46,MATCH($G13,Skills!$B$5:$B$46,0)),0)</f>
        <v/>
      </c>
      <c r="M13" s="62">
        <f>MAX(0,$C13*$K13-$C13*$L13)</f>
        <v/>
      </c>
      <c r="N13" s="64">
        <f>IF(Inputs!$B$4&gt;0,$M13/Inputs!$B$4,0)</f>
        <v/>
      </c>
      <c r="O13" s="63">
        <f>MAX(Inputs!$B$16,IFERROR(INDEX(Enemies!$Z$5:$Z$16,MATCH($B13,Enemies!$A$5:$A$16,0)),0)*Inputs!$B$12+$D13*Inputs!$B$13+$E13*Inputs!$B$14-$C13*Inputs!$B$15)</f>
        <v/>
      </c>
      <c r="P13" s="45">
        <f>IF($J13="","스킬 확인",IF($C13&lt;$J13,"공격 부족",IF($N13&gt;=1,"위험",IF($N13&gt;=0.6,"주의","OK"))))</f>
        <v/>
      </c>
      <c r="Q13" s="45" t="inlineStr">
        <is>
          <t>Normal</t>
        </is>
      </c>
    </row>
    <row r="14">
      <c r="A14" s="63" t="n">
        <v>10</v>
      </c>
      <c r="B14" s="70" t="inlineStr">
        <is>
          <t>나선뿔 목동</t>
        </is>
      </c>
      <c r="C14" s="70" t="n">
        <v>8</v>
      </c>
      <c r="D14" s="70" t="n">
        <v>0</v>
      </c>
      <c r="E14" s="70" t="n">
        <v>0</v>
      </c>
      <c r="F14" s="46" t="inlineStr">
        <is>
          <t>빛 발사</t>
        </is>
      </c>
      <c r="G14" s="46" t="inlineStr">
        <is>
          <t>낮은 자세</t>
        </is>
      </c>
      <c r="H14" s="62">
        <f>IFERROR(INDEX(Enemies!$F$5:$F$16,MATCH($B14,Enemies!$A$5:$A$16,0)),"")</f>
        <v/>
      </c>
      <c r="I14" s="62">
        <f>IFERROR(INDEX(Skills!$J$5:$J$46,MATCH($F14,Skills!$B$5:$B$46,0)),0)</f>
        <v/>
      </c>
      <c r="J14" s="62">
        <f>IF(OR($H14="",$I14&lt;=0),"",CEILING($H14/$I14,1))</f>
        <v/>
      </c>
      <c r="K14" s="62">
        <f>IFERROR(INDEX(Enemies!$X$5:$X$16,MATCH($B14,Enemies!$A$5:$A$16,0)),0)</f>
        <v/>
      </c>
      <c r="L14" s="62">
        <f>IFERROR(INDEX(Skills!$K$5:$K$46,MATCH($G14,Skills!$B$5:$B$46,0)),0)</f>
        <v/>
      </c>
      <c r="M14" s="62">
        <f>MAX(0,$C14*$K14-$C14*$L14)</f>
        <v/>
      </c>
      <c r="N14" s="64">
        <f>IF(Inputs!$B$4&gt;0,$M14/Inputs!$B$4,0)</f>
        <v/>
      </c>
      <c r="O14" s="63">
        <f>MAX(Inputs!$B$16,IFERROR(INDEX(Enemies!$Z$5:$Z$16,MATCH($B14,Enemies!$A$5:$A$16,0)),0)*Inputs!$B$12+$D14*Inputs!$B$13+$E14*Inputs!$B$14-$C14*Inputs!$B$15)</f>
        <v/>
      </c>
      <c r="P14" s="45">
        <f>IF($J14="","스킬 확인",IF($C14&lt;$J14,"공격 부족",IF($N14&gt;=1,"위험",IF($N14&gt;=0.6,"주의","OK"))))</f>
        <v/>
      </c>
      <c r="Q14" s="45" t="inlineStr">
        <is>
          <t>Elite</t>
        </is>
      </c>
    </row>
    <row r="15">
      <c r="A15" s="63" t="n">
        <v>11</v>
      </c>
      <c r="B15" s="70" t="inlineStr">
        <is>
          <t>다층 갑각</t>
        </is>
      </c>
      <c r="C15" s="70" t="n">
        <v>8</v>
      </c>
      <c r="D15" s="70" t="n">
        <v>0</v>
      </c>
      <c r="E15" s="70" t="n">
        <v>0</v>
      </c>
      <c r="F15" s="46" t="inlineStr">
        <is>
          <t>빛 발사</t>
        </is>
      </c>
      <c r="G15" s="46" t="inlineStr">
        <is>
          <t>낮은 자세</t>
        </is>
      </c>
      <c r="H15" s="62">
        <f>IFERROR(INDEX(Enemies!$F$5:$F$16,MATCH($B15,Enemies!$A$5:$A$16,0)),"")</f>
        <v/>
      </c>
      <c r="I15" s="62">
        <f>IFERROR(INDEX(Skills!$J$5:$J$46,MATCH($F15,Skills!$B$5:$B$46,0)),0)</f>
        <v/>
      </c>
      <c r="J15" s="62">
        <f>IF(OR($H15="",$I15&lt;=0),"",CEILING($H15/$I15,1))</f>
        <v/>
      </c>
      <c r="K15" s="62">
        <f>IFERROR(INDEX(Enemies!$X$5:$X$16,MATCH($B15,Enemies!$A$5:$A$16,0)),0)</f>
        <v/>
      </c>
      <c r="L15" s="62">
        <f>IFERROR(INDEX(Skills!$K$5:$K$46,MATCH($G15,Skills!$B$5:$B$46,0)),0)</f>
        <v/>
      </c>
      <c r="M15" s="62">
        <f>MAX(0,$C15*$K15-$C15*$L15)</f>
        <v/>
      </c>
      <c r="N15" s="64">
        <f>IF(Inputs!$B$4&gt;0,$M15/Inputs!$B$4,0)</f>
        <v/>
      </c>
      <c r="O15" s="63">
        <f>MAX(Inputs!$B$16,IFERROR(INDEX(Enemies!$Z$5:$Z$16,MATCH($B15,Enemies!$A$5:$A$16,0)),0)*Inputs!$B$12+$D15*Inputs!$B$13+$E15*Inputs!$B$14-$C15*Inputs!$B$15)</f>
        <v/>
      </c>
      <c r="P15" s="45">
        <f>IF($J15="","스킬 확인",IF($C15&lt;$J15,"공격 부족",IF($N15&gt;=1,"위험",IF($N15&gt;=0.6,"주의","OK"))))</f>
        <v/>
      </c>
      <c r="Q15" s="45" t="inlineStr">
        <is>
          <t>Normal</t>
        </is>
      </c>
    </row>
    <row r="16">
      <c r="A16" s="63" t="n">
        <v>12</v>
      </c>
      <c r="B16" s="70" t="inlineStr">
        <is>
          <t>네크릴라</t>
        </is>
      </c>
      <c r="C16" s="70" t="n">
        <v>8</v>
      </c>
      <c r="D16" s="70" t="n">
        <v>0</v>
      </c>
      <c r="E16" s="70" t="n">
        <v>0</v>
      </c>
      <c r="F16" s="46" t="inlineStr">
        <is>
          <t>빛 발사</t>
        </is>
      </c>
      <c r="G16" s="46" t="inlineStr">
        <is>
          <t>낮은 자세</t>
        </is>
      </c>
      <c r="H16" s="62">
        <f>IFERROR(INDEX(Enemies!$F$5:$F$16,MATCH($B16,Enemies!$A$5:$A$16,0)),"")</f>
        <v/>
      </c>
      <c r="I16" s="62">
        <f>IFERROR(INDEX(Skills!$J$5:$J$46,MATCH($F16,Skills!$B$5:$B$46,0)),0)</f>
        <v/>
      </c>
      <c r="J16" s="62">
        <f>IF(OR($H16="",$I16&lt;=0),"",CEILING($H16/$I16,1))</f>
        <v/>
      </c>
      <c r="K16" s="62">
        <f>IFERROR(INDEX(Enemies!$X$5:$X$16,MATCH($B16,Enemies!$A$5:$A$16,0)),0)</f>
        <v/>
      </c>
      <c r="L16" s="62">
        <f>IFERROR(INDEX(Skills!$K$5:$K$46,MATCH($G16,Skills!$B$5:$B$46,0)),0)</f>
        <v/>
      </c>
      <c r="M16" s="62">
        <f>MAX(0,$C16*$K16-$C16*$L16)</f>
        <v/>
      </c>
      <c r="N16" s="64">
        <f>IF(Inputs!$B$4&gt;0,$M16/Inputs!$B$4,0)</f>
        <v/>
      </c>
      <c r="O16" s="63">
        <f>MAX(Inputs!$B$16,IFERROR(INDEX(Enemies!$Z$5:$Z$16,MATCH($B16,Enemies!$A$5:$A$16,0)),0)*Inputs!$B$12+$D16*Inputs!$B$13+$E16*Inputs!$B$14-$C16*Inputs!$B$15)</f>
        <v/>
      </c>
      <c r="P16" s="45">
        <f>IF($J16="","스킬 확인",IF($C16&lt;$J16,"공격 부족",IF($N16&gt;=1,"위험",IF($N16&gt;=0.6,"주의","OK"))))</f>
        <v/>
      </c>
      <c r="Q16" s="45" t="inlineStr">
        <is>
          <t>Normal</t>
        </is>
      </c>
    </row>
    <row r="17">
      <c r="A17" s="63" t="n">
        <v>13</v>
      </c>
      <c r="B17" s="70" t="inlineStr">
        <is>
          <t>그림자 늑대</t>
        </is>
      </c>
      <c r="C17" s="70" t="n">
        <v>8</v>
      </c>
      <c r="D17" s="70" t="n">
        <v>0</v>
      </c>
      <c r="E17" s="70" t="n">
        <v>0</v>
      </c>
      <c r="F17" s="46" t="inlineStr">
        <is>
          <t>빛 발사</t>
        </is>
      </c>
      <c r="G17" s="46" t="inlineStr">
        <is>
          <t>낮은 자세</t>
        </is>
      </c>
      <c r="H17" s="62">
        <f>IFERROR(INDEX(Enemies!$F$5:$F$16,MATCH($B17,Enemies!$A$5:$A$16,0)),"")</f>
        <v/>
      </c>
      <c r="I17" s="62">
        <f>IFERROR(INDEX(Skills!$J$5:$J$46,MATCH($F17,Skills!$B$5:$B$46,0)),0)</f>
        <v/>
      </c>
      <c r="J17" s="62">
        <f>IF(OR($H17="",$I17&lt;=0),"",CEILING($H17/$I17,1))</f>
        <v/>
      </c>
      <c r="K17" s="62">
        <f>IFERROR(INDEX(Enemies!$X$5:$X$16,MATCH($B17,Enemies!$A$5:$A$16,0)),0)</f>
        <v/>
      </c>
      <c r="L17" s="62">
        <f>IFERROR(INDEX(Skills!$K$5:$K$46,MATCH($G17,Skills!$B$5:$B$46,0)),0)</f>
        <v/>
      </c>
      <c r="M17" s="62">
        <f>MAX(0,$C17*$K17-$C17*$L17)</f>
        <v/>
      </c>
      <c r="N17" s="64">
        <f>IF(Inputs!$B$4&gt;0,$M17/Inputs!$B$4,0)</f>
        <v/>
      </c>
      <c r="O17" s="63">
        <f>MAX(Inputs!$B$16,IFERROR(INDEX(Enemies!$Z$5:$Z$16,MATCH($B17,Enemies!$A$5:$A$16,0)),0)*Inputs!$B$12+$D17*Inputs!$B$13+$E17*Inputs!$B$14-$C17*Inputs!$B$15)</f>
        <v/>
      </c>
      <c r="P17" s="45">
        <f>IF($J17="","스킬 확인",IF($C17&lt;$J17,"공격 부족",IF($N17&gt;=1,"위험",IF($N17&gt;=0.6,"주의","OK"))))</f>
        <v/>
      </c>
      <c r="Q17" s="45" t="inlineStr">
        <is>
          <t>Normal</t>
        </is>
      </c>
    </row>
    <row r="18">
      <c r="A18" s="63" t="n">
        <v>14</v>
      </c>
      <c r="B18" s="70" t="inlineStr">
        <is>
          <t>속박된 전율</t>
        </is>
      </c>
      <c r="C18" s="70" t="n">
        <v>8</v>
      </c>
      <c r="D18" s="70" t="n">
        <v>0</v>
      </c>
      <c r="E18" s="70" t="n">
        <v>0</v>
      </c>
      <c r="F18" s="46" t="inlineStr">
        <is>
          <t>빛 발사</t>
        </is>
      </c>
      <c r="G18" s="46" t="inlineStr">
        <is>
          <t>낮은 자세</t>
        </is>
      </c>
      <c r="H18" s="62">
        <f>IFERROR(INDEX(Enemies!$F$5:$F$16,MATCH($B18,Enemies!$A$5:$A$16,0)),"")</f>
        <v/>
      </c>
      <c r="I18" s="62">
        <f>IFERROR(INDEX(Skills!$J$5:$J$46,MATCH($F18,Skills!$B$5:$B$46,0)),0)</f>
        <v/>
      </c>
      <c r="J18" s="62">
        <f>IF(OR($H18="",$I18&lt;=0),"",CEILING($H18/$I18,1))</f>
        <v/>
      </c>
      <c r="K18" s="62">
        <f>IFERROR(INDEX(Enemies!$X$5:$X$16,MATCH($B18,Enemies!$A$5:$A$16,0)),0)</f>
        <v/>
      </c>
      <c r="L18" s="62">
        <f>IFERROR(INDEX(Skills!$K$5:$K$46,MATCH($G18,Skills!$B$5:$B$46,0)),0)</f>
        <v/>
      </c>
      <c r="M18" s="62">
        <f>MAX(0,$C18*$K18-$C18*$L18)</f>
        <v/>
      </c>
      <c r="N18" s="64">
        <f>IF(Inputs!$B$4&gt;0,$M18/Inputs!$B$4,0)</f>
        <v/>
      </c>
      <c r="O18" s="63">
        <f>MAX(Inputs!$B$16,IFERROR(INDEX(Enemies!$Z$5:$Z$16,MATCH($B18,Enemies!$A$5:$A$16,0)),0)*Inputs!$B$12+$D18*Inputs!$B$13+$E18*Inputs!$B$14-$C18*Inputs!$B$15)</f>
        <v/>
      </c>
      <c r="P18" s="45">
        <f>IF($J18="","스킬 확인",IF($C18&lt;$J18,"공격 부족",IF($N18&gt;=1,"위험",IF($N18&gt;=0.6,"주의","OK"))))</f>
        <v/>
      </c>
      <c r="Q18" s="45" t="inlineStr">
        <is>
          <t>Normal</t>
        </is>
      </c>
    </row>
    <row r="19">
      <c r="A19" s="63" t="n">
        <v>15</v>
      </c>
      <c r="B19" s="70" t="inlineStr">
        <is>
          <t>거짓된 미소</t>
        </is>
      </c>
      <c r="C19" s="70" t="n">
        <v>8</v>
      </c>
      <c r="D19" s="70" t="n">
        <v>0</v>
      </c>
      <c r="E19" s="70" t="n">
        <v>0</v>
      </c>
      <c r="F19" s="46" t="inlineStr">
        <is>
          <t>빛 발사</t>
        </is>
      </c>
      <c r="G19" s="46" t="inlineStr">
        <is>
          <t>낮은 자세</t>
        </is>
      </c>
      <c r="H19" s="62">
        <f>IFERROR(INDEX(Enemies!$F$5:$F$16,MATCH($B19,Enemies!$A$5:$A$16,0)),"")</f>
        <v/>
      </c>
      <c r="I19" s="62">
        <f>IFERROR(INDEX(Skills!$J$5:$J$46,MATCH($F19,Skills!$B$5:$B$46,0)),0)</f>
        <v/>
      </c>
      <c r="J19" s="62">
        <f>IF(OR($H19="",$I19&lt;=0),"",CEILING($H19/$I19,1))</f>
        <v/>
      </c>
      <c r="K19" s="62">
        <f>IFERROR(INDEX(Enemies!$X$5:$X$16,MATCH($B19,Enemies!$A$5:$A$16,0)),0)</f>
        <v/>
      </c>
      <c r="L19" s="62">
        <f>IFERROR(INDEX(Skills!$K$5:$K$46,MATCH($G19,Skills!$B$5:$B$46,0)),0)</f>
        <v/>
      </c>
      <c r="M19" s="62">
        <f>MAX(0,$C19*$K19-$C19*$L19)</f>
        <v/>
      </c>
      <c r="N19" s="64">
        <f>IF(Inputs!$B$4&gt;0,$M19/Inputs!$B$4,0)</f>
        <v/>
      </c>
      <c r="O19" s="63">
        <f>MAX(Inputs!$B$16,IFERROR(INDEX(Enemies!$Z$5:$Z$16,MATCH($B19,Enemies!$A$5:$A$16,0)),0)*Inputs!$B$12+$D19*Inputs!$B$13+$E19*Inputs!$B$14-$C19*Inputs!$B$15)</f>
        <v/>
      </c>
      <c r="P19" s="45">
        <f>IF($J19="","스킬 확인",IF($C19&lt;$J19,"공격 부족",IF($N19&gt;=1,"위험",IF($N19&gt;=0.6,"주의","OK"))))</f>
        <v/>
      </c>
      <c r="Q19" s="45" t="inlineStr">
        <is>
          <t>Elite</t>
        </is>
      </c>
    </row>
    <row r="20">
      <c r="A20" s="63" t="n">
        <v>16</v>
      </c>
      <c r="B20" s="70" t="inlineStr">
        <is>
          <t>푸른심장</t>
        </is>
      </c>
      <c r="C20" s="70" t="n">
        <v>8</v>
      </c>
      <c r="D20" s="70" t="n">
        <v>0</v>
      </c>
      <c r="E20" s="70" t="n">
        <v>0</v>
      </c>
      <c r="F20" s="46" t="inlineStr">
        <is>
          <t>빛 발사</t>
        </is>
      </c>
      <c r="G20" s="46" t="inlineStr">
        <is>
          <t>낮은 자세</t>
        </is>
      </c>
      <c r="H20" s="62">
        <f>IFERROR(INDEX(Enemies!$F$5:$F$16,MATCH($B20,Enemies!$A$5:$A$16,0)),"")</f>
        <v/>
      </c>
      <c r="I20" s="62">
        <f>IFERROR(INDEX(Skills!$J$5:$J$46,MATCH($F20,Skills!$B$5:$B$46,0)),0)</f>
        <v/>
      </c>
      <c r="J20" s="62">
        <f>IF(OR($H20="",$I20&lt;=0),"",CEILING($H20/$I20,1))</f>
        <v/>
      </c>
      <c r="K20" s="62">
        <f>IFERROR(INDEX(Enemies!$X$5:$X$16,MATCH($B20,Enemies!$A$5:$A$16,0)),0)</f>
        <v/>
      </c>
      <c r="L20" s="62">
        <f>IFERROR(INDEX(Skills!$K$5:$K$46,MATCH($G20,Skills!$B$5:$B$46,0)),0)</f>
        <v/>
      </c>
      <c r="M20" s="62">
        <f>MAX(0,$C20*$K20-$C20*$L20)</f>
        <v/>
      </c>
      <c r="N20" s="64">
        <f>IF(Inputs!$B$4&gt;0,$M20/Inputs!$B$4,0)</f>
        <v/>
      </c>
      <c r="O20" s="63">
        <f>MAX(Inputs!$B$16,IFERROR(INDEX(Enemies!$Z$5:$Z$16,MATCH($B20,Enemies!$A$5:$A$16,0)),0)*Inputs!$B$12+$D20*Inputs!$B$13+$E20*Inputs!$B$14-$C20*Inputs!$B$15)</f>
        <v/>
      </c>
      <c r="P20" s="45">
        <f>IF($J20="","스킬 확인",IF($C20&lt;$J20,"공격 부족",IF($N20&gt;=1,"위험",IF($N20&gt;=0.6,"주의","OK"))))</f>
        <v/>
      </c>
      <c r="Q20" s="45" t="inlineStr">
        <is>
          <t>Normal</t>
        </is>
      </c>
    </row>
    <row r="21">
      <c r="A21" s="63" t="n">
        <v>17</v>
      </c>
      <c r="B21" s="70" t="inlineStr">
        <is>
          <t>푸른귀 들쥐</t>
        </is>
      </c>
      <c r="C21" s="70" t="n">
        <v>8</v>
      </c>
      <c r="D21" s="70" t="n">
        <v>0</v>
      </c>
      <c r="E21" s="70" t="n">
        <v>0</v>
      </c>
      <c r="F21" s="46" t="inlineStr">
        <is>
          <t>빛 발사</t>
        </is>
      </c>
      <c r="G21" s="46" t="inlineStr">
        <is>
          <t>낮은 자세</t>
        </is>
      </c>
      <c r="H21" s="62">
        <f>IFERROR(INDEX(Enemies!$F$5:$F$16,MATCH($B21,Enemies!$A$5:$A$16,0)),"")</f>
        <v/>
      </c>
      <c r="I21" s="62">
        <f>IFERROR(INDEX(Skills!$J$5:$J$46,MATCH($F21,Skills!$B$5:$B$46,0)),0)</f>
        <v/>
      </c>
      <c r="J21" s="62">
        <f>IF(OR($H21="",$I21&lt;=0),"",CEILING($H21/$I21,1))</f>
        <v/>
      </c>
      <c r="K21" s="62">
        <f>IFERROR(INDEX(Enemies!$X$5:$X$16,MATCH($B21,Enemies!$A$5:$A$16,0)),0)</f>
        <v/>
      </c>
      <c r="L21" s="62">
        <f>IFERROR(INDEX(Skills!$K$5:$K$46,MATCH($G21,Skills!$B$5:$B$46,0)),0)</f>
        <v/>
      </c>
      <c r="M21" s="62">
        <f>MAX(0,$C21*$K21-$C21*$L21)</f>
        <v/>
      </c>
      <c r="N21" s="64">
        <f>IF(Inputs!$B$4&gt;0,$M21/Inputs!$B$4,0)</f>
        <v/>
      </c>
      <c r="O21" s="63">
        <f>MAX(Inputs!$B$16,IFERROR(INDEX(Enemies!$Z$5:$Z$16,MATCH($B21,Enemies!$A$5:$A$16,0)),0)*Inputs!$B$12+$D21*Inputs!$B$13+$E21*Inputs!$B$14-$C21*Inputs!$B$15)</f>
        <v/>
      </c>
      <c r="P21" s="45">
        <f>IF($J21="","스킬 확인",IF($C21&lt;$J21,"공격 부족",IF($N21&gt;=1,"위험",IF($N21&gt;=0.6,"주의","OK"))))</f>
        <v/>
      </c>
      <c r="Q21" s="45" t="inlineStr">
        <is>
          <t>Normal</t>
        </is>
      </c>
    </row>
    <row r="22">
      <c r="A22" s="63" t="n">
        <v>18</v>
      </c>
      <c r="B22" s="70" t="inlineStr">
        <is>
          <t>물결치는 역병</t>
        </is>
      </c>
      <c r="C22" s="70" t="n">
        <v>8</v>
      </c>
      <c r="D22" s="70" t="n">
        <v>0</v>
      </c>
      <c r="E22" s="70" t="n">
        <v>0</v>
      </c>
      <c r="F22" s="46" t="inlineStr">
        <is>
          <t>빛 발사</t>
        </is>
      </c>
      <c r="G22" s="46" t="inlineStr">
        <is>
          <t>낮은 자세</t>
        </is>
      </c>
      <c r="H22" s="62">
        <f>IFERROR(INDEX(Enemies!$F$5:$F$16,MATCH($B22,Enemies!$A$5:$A$16,0)),"")</f>
        <v/>
      </c>
      <c r="I22" s="62">
        <f>IFERROR(INDEX(Skills!$J$5:$J$46,MATCH($F22,Skills!$B$5:$B$46,0)),0)</f>
        <v/>
      </c>
      <c r="J22" s="62">
        <f>IF(OR($H22="",$I22&lt;=0),"",CEILING($H22/$I22,1))</f>
        <v/>
      </c>
      <c r="K22" s="62">
        <f>IFERROR(INDEX(Enemies!$X$5:$X$16,MATCH($B22,Enemies!$A$5:$A$16,0)),0)</f>
        <v/>
      </c>
      <c r="L22" s="62">
        <f>IFERROR(INDEX(Skills!$K$5:$K$46,MATCH($G22,Skills!$B$5:$B$46,0)),0)</f>
        <v/>
      </c>
      <c r="M22" s="62">
        <f>MAX(0,$C22*$K22-$C22*$L22)</f>
        <v/>
      </c>
      <c r="N22" s="64">
        <f>IF(Inputs!$B$4&gt;0,$M22/Inputs!$B$4,0)</f>
        <v/>
      </c>
      <c r="O22" s="63">
        <f>MAX(Inputs!$B$16,IFERROR(INDEX(Enemies!$Z$5:$Z$16,MATCH($B22,Enemies!$A$5:$A$16,0)),0)*Inputs!$B$12+$D22*Inputs!$B$13+$E22*Inputs!$B$14-$C22*Inputs!$B$15)</f>
        <v/>
      </c>
      <c r="P22" s="45">
        <f>IF($J22="","스킬 확인",IF($C22&lt;$J22,"공격 부족",IF($N22&gt;=1,"위험",IF($N22&gt;=0.6,"주의","OK"))))</f>
        <v/>
      </c>
      <c r="Q22" s="45" t="inlineStr">
        <is>
          <t>Normal</t>
        </is>
      </c>
    </row>
    <row r="23">
      <c r="A23" s="63" t="n">
        <v>19</v>
      </c>
      <c r="B23" s="70" t="inlineStr">
        <is>
          <t>외눈 추적자</t>
        </is>
      </c>
      <c r="C23" s="70" t="n">
        <v>8</v>
      </c>
      <c r="D23" s="70" t="n">
        <v>0</v>
      </c>
      <c r="E23" s="70" t="n">
        <v>0</v>
      </c>
      <c r="F23" s="46" t="inlineStr">
        <is>
          <t>빛 발사</t>
        </is>
      </c>
      <c r="G23" s="46" t="inlineStr">
        <is>
          <t>낮은 자세</t>
        </is>
      </c>
      <c r="H23" s="62">
        <f>IFERROR(INDEX(Enemies!$F$5:$F$16,MATCH($B23,Enemies!$A$5:$A$16,0)),"")</f>
        <v/>
      </c>
      <c r="I23" s="62">
        <f>IFERROR(INDEX(Skills!$J$5:$J$46,MATCH($F23,Skills!$B$5:$B$46,0)),0)</f>
        <v/>
      </c>
      <c r="J23" s="62">
        <f>IF(OR($H23="",$I23&lt;=0),"",CEILING($H23/$I23,1))</f>
        <v/>
      </c>
      <c r="K23" s="62">
        <f>IFERROR(INDEX(Enemies!$X$5:$X$16,MATCH($B23,Enemies!$A$5:$A$16,0)),0)</f>
        <v/>
      </c>
      <c r="L23" s="62">
        <f>IFERROR(INDEX(Skills!$K$5:$K$46,MATCH($G23,Skills!$B$5:$B$46,0)),0)</f>
        <v/>
      </c>
      <c r="M23" s="62">
        <f>MAX(0,$C23*$K23-$C23*$L23)</f>
        <v/>
      </c>
      <c r="N23" s="64">
        <f>IF(Inputs!$B$4&gt;0,$M23/Inputs!$B$4,0)</f>
        <v/>
      </c>
      <c r="O23" s="63">
        <f>MAX(Inputs!$B$16,IFERROR(INDEX(Enemies!$Z$5:$Z$16,MATCH($B23,Enemies!$A$5:$A$16,0)),0)*Inputs!$B$12+$D23*Inputs!$B$13+$E23*Inputs!$B$14-$C23*Inputs!$B$15)</f>
        <v/>
      </c>
      <c r="P23" s="45">
        <f>IF($J23="","스킬 확인",IF($C23&lt;$J23,"공격 부족",IF($N23&gt;=1,"위험",IF($N23&gt;=0.6,"주의","OK"))))</f>
        <v/>
      </c>
      <c r="Q23" s="45" t="inlineStr">
        <is>
          <t>Normal</t>
        </is>
      </c>
    </row>
    <row r="24">
      <c r="A24" s="63" t="n">
        <v>20</v>
      </c>
      <c r="B24" s="70" t="inlineStr">
        <is>
          <t>카르민느</t>
        </is>
      </c>
      <c r="C24" s="70" t="n">
        <v>8</v>
      </c>
      <c r="D24" s="70" t="n">
        <v>0</v>
      </c>
      <c r="E24" s="70" t="n">
        <v>0</v>
      </c>
      <c r="F24" s="46" t="inlineStr">
        <is>
          <t>빛 발사</t>
        </is>
      </c>
      <c r="G24" s="46" t="inlineStr">
        <is>
          <t>낮은 자세</t>
        </is>
      </c>
      <c r="H24" s="62">
        <f>IFERROR(INDEX(Enemies!$F$5:$F$16,MATCH($B24,Enemies!$A$5:$A$16,0)),"")</f>
        <v/>
      </c>
      <c r="I24" s="62">
        <f>IFERROR(INDEX(Skills!$J$5:$J$46,MATCH($F24,Skills!$B$5:$B$46,0)),0)</f>
        <v/>
      </c>
      <c r="J24" s="62">
        <f>IF(OR($H24="",$I24&lt;=0),"",CEILING($H24/$I24,1))</f>
        <v/>
      </c>
      <c r="K24" s="62">
        <f>IFERROR(INDEX(Enemies!$X$5:$X$16,MATCH($B24,Enemies!$A$5:$A$16,0)),0)</f>
        <v/>
      </c>
      <c r="L24" s="62">
        <f>IFERROR(INDEX(Skills!$K$5:$K$46,MATCH($G24,Skills!$B$5:$B$46,0)),0)</f>
        <v/>
      </c>
      <c r="M24" s="62">
        <f>MAX(0,$C24*$K24-$C24*$L24)</f>
        <v/>
      </c>
      <c r="N24" s="64">
        <f>IF(Inputs!$B$4&gt;0,$M24/Inputs!$B$4,0)</f>
        <v/>
      </c>
      <c r="O24" s="63">
        <f>MAX(Inputs!$B$16,IFERROR(INDEX(Enemies!$Z$5:$Z$16,MATCH($B24,Enemies!$A$5:$A$16,0)),0)*Inputs!$B$12+$D24*Inputs!$B$13+$E24*Inputs!$B$14-$C24*Inputs!$B$15)</f>
        <v/>
      </c>
      <c r="P24" s="45">
        <f>IF($J24="","스킬 확인",IF($C24&lt;$J24,"공격 부족",IF($N24&gt;=1,"위험",IF($N24&gt;=0.6,"주의","OK"))))</f>
        <v/>
      </c>
      <c r="Q24" s="45" t="inlineStr">
        <is>
          <t>FinalBoss</t>
        </is>
      </c>
    </row>
  </sheetData>
  <conditionalFormatting sqref="P5:P24">
    <cfRule type="containsText" priority="1" operator="containsText" dxfId="1" text="OK"/>
    <cfRule type="containsText" priority="2" operator="containsText" dxfId="0" text="주의"/>
    <cfRule type="containsText" priority="3" operator="containsText" dxfId="3" text="위험"/>
    <cfRule type="containsText" priority="4" operator="containsText" dxfId="3" text="공격 부족"/>
  </conditionalFormatting>
  <dataValidations count="3">
    <dataValidation sqref="B5:B24" showDropDown="0" showInputMessage="0" showErrorMessage="0" allowBlank="1" type="list">
      <formula1>=Lists!$F$2:$F$13</formula1>
    </dataValidation>
    <dataValidation sqref="F5:F24" showDropDown="0" showInputMessage="0" showErrorMessage="0" allowBlank="1" type="list">
      <formula1>=Lists!$G$2:$G$43</formula1>
    </dataValidation>
    <dataValidation sqref="G5:G24" showDropDown="0" showInputMessage="0" showErrorMessage="0" allowBlank="1" type="list">
      <formula1>=Lists!$G$2:$G$43</formula1>
    </dataValidation>
  </dataValidations>
  <pageMargins left="0.7" right="0.7" top="0.75" bottom="0.75" header="0.3" footer="0.3"/>
  <tableParts count="1">
    <tablePart ns1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Q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4" customWidth="1" min="5" max="5"/>
    <col width="16.14999961853027" customWidth="1" min="6" max="6"/>
    <col width="39.70000076293945" customWidth="1" min="7" max="7"/>
    <col width="16" customWidth="1" min="8" max="8"/>
    <col width="16" customWidth="1" min="9" max="9"/>
    <col width="48" customWidth="1" min="17" max="17"/>
  </cols>
  <sheetData>
    <row r="1" ht="25.5" customHeight="1">
      <c r="A1" s="65" t="inlineStr">
        <is>
          <t>보상 / 점수 룰</t>
        </is>
      </c>
    </row>
    <row r="2" ht="19.5" customHeight="1">
      <c r="A2" s="73" t="inlineStr">
        <is>
          <t>Reward assets and PrototypeRewardTable are synced. Temporary attack/defense rewards are next-combat rank bonuses, not flat stat bonuses.</t>
        </is>
      </c>
    </row>
    <row r="3">
      <c r="A3" s="44" t="n"/>
      <c r="H3" s="51" t="n"/>
    </row>
    <row r="4">
      <c r="A4" s="67" t="inlineStr">
        <is>
          <t>Reward ID</t>
        </is>
      </c>
      <c r="B4" s="67" t="inlineStr">
        <is>
          <t>Display Name</t>
        </is>
      </c>
      <c r="C4" s="67" t="inlineStr">
        <is>
          <t>Kind</t>
        </is>
      </c>
      <c r="D4" s="67" t="inlineStr">
        <is>
          <t>Skill Learned</t>
        </is>
      </c>
      <c r="E4" s="67" t="inlineStr">
        <is>
          <t>Heal % Max HP</t>
        </is>
      </c>
      <c r="F4" s="67" t="inlineStr">
        <is>
          <t>Heal Amount</t>
        </is>
      </c>
      <c r="G4" s="67" t="inlineStr">
        <is>
          <t>Extra Move</t>
        </is>
      </c>
      <c r="H4" s="67" t="inlineStr">
        <is>
          <t>Temp Atk Rank</t>
        </is>
      </c>
      <c r="I4" s="67" t="inlineStr">
        <is>
          <t>Temp Def Rank</t>
        </is>
      </c>
      <c r="J4" s="67" t="inlineStr">
        <is>
          <t>Temp Move</t>
        </is>
      </c>
      <c r="K4" s="67" t="inlineStr">
        <is>
          <t>Permanent HP</t>
        </is>
      </c>
      <c r="L4" s="67" t="inlineStr">
        <is>
          <t>Permanent Atk</t>
        </is>
      </c>
      <c r="M4" s="67" t="inlineStr">
        <is>
          <t>Permanent Def</t>
        </is>
      </c>
      <c r="N4" s="67" t="inlineStr">
        <is>
          <t>Crit Chance Bonus</t>
        </is>
      </c>
      <c r="O4" s="67" t="inlineStr">
        <is>
          <t>Crit Damage Bonus</t>
        </is>
      </c>
      <c r="P4" s="67" t="inlineStr">
        <is>
          <t>Enemy Skill Offer %</t>
        </is>
      </c>
      <c r="Q4" s="67" t="inlineStr">
        <is>
          <t>Encounter Text / Notes</t>
        </is>
      </c>
    </row>
    <row r="5">
      <c r="A5" s="45" t="inlineStr">
        <is>
          <t>moth-basic</t>
        </is>
      </c>
      <c r="B5" s="45" t="inlineStr">
        <is>
          <t>나방</t>
        </is>
      </c>
      <c r="C5" s="81" t="inlineStr">
        <is>
          <t>HealTwo</t>
        </is>
      </c>
      <c r="D5" s="70" t="inlineStr"/>
      <c r="E5" s="63" t="n">
        <v>0.3</v>
      </c>
      <c r="F5" s="63" t="n">
        <v>2</v>
      </c>
      <c r="G5" s="45" t="n">
        <v>1</v>
      </c>
      <c r="H5" s="82" t="n"/>
      <c r="I5" s="79" t="n"/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</v>
      </c>
      <c r="Q5" s="79" t="inlineStr">
        <is>
          <t>조력자가 다음 전투를 준비할기회를 줍니다.</t>
        </is>
      </c>
    </row>
    <row r="6">
      <c r="A6" s="82" t="inlineStr">
        <is>
          <t>learn-tentacle-strike</t>
        </is>
      </c>
      <c r="B6" s="51" t="inlineStr">
        <is>
          <t>기술 습득</t>
        </is>
      </c>
      <c r="C6" s="51" t="inlineStr">
        <is>
          <t>LearnSkill</t>
        </is>
      </c>
      <c r="D6" s="51" t="inlineStr">
        <is>
          <t>촉수 치기</t>
        </is>
      </c>
      <c r="E6" s="51" t="n">
        <v>0.3</v>
      </c>
      <c r="F6" s="51" t="n">
        <v>2</v>
      </c>
      <c r="G6" s="51" t="n">
        <v>1</v>
      </c>
      <c r="H6" s="82" t="n"/>
      <c r="I6" s="79" t="n"/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</v>
      </c>
      <c r="Q6" s="79" t="inlineStr">
        <is>
          <t>촉수 치기 기술을 배웁니다.</t>
        </is>
      </c>
    </row>
    <row r="7">
      <c r="A7" s="51" t="inlineStr">
        <is>
          <t>learn-thorn-guard</t>
        </is>
      </c>
      <c r="B7" s="51" t="inlineStr">
        <is>
          <t>기술 습득</t>
        </is>
      </c>
      <c r="C7" s="51" t="inlineStr">
        <is>
          <t>LearnSkill</t>
        </is>
      </c>
      <c r="D7" s="51" t="inlineStr">
        <is>
          <t>가시 방어</t>
        </is>
      </c>
      <c r="E7" s="51" t="n">
        <v>0.3</v>
      </c>
      <c r="F7" s="51" t="n">
        <v>2</v>
      </c>
      <c r="G7" s="51" t="n">
        <v>1</v>
      </c>
      <c r="H7" s="82" t="n"/>
      <c r="I7" s="79" t="n"/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</v>
      </c>
      <c r="Q7" s="79" t="inlineStr">
        <is>
          <t>가시 방어 기술을 배웁니다.</t>
        </is>
      </c>
    </row>
    <row r="8">
      <c r="A8" s="44" t="inlineStr">
        <is>
          <t>learn-gather-light</t>
        </is>
      </c>
      <c r="B8" t="inlineStr">
        <is>
          <t>기술 습득</t>
        </is>
      </c>
      <c r="C8" t="inlineStr">
        <is>
          <t>LearnSkill</t>
        </is>
      </c>
      <c r="D8" t="inlineStr">
        <is>
          <t>빛 모으기</t>
        </is>
      </c>
      <c r="E8" t="n">
        <v>0.3</v>
      </c>
      <c r="F8" t="n">
        <v>2</v>
      </c>
      <c r="G8" s="51" t="n">
        <v>1</v>
      </c>
      <c r="H8" s="82" t="n"/>
      <c r="I8" s="79" t="n"/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</v>
      </c>
      <c r="Q8" s="79" t="inlineStr">
        <is>
          <t>빛 모으기 기술을 배웁니다.</t>
        </is>
      </c>
    </row>
    <row r="9">
      <c r="A9" s="50" t="inlineStr">
        <is>
          <t>learn-endure</t>
        </is>
      </c>
      <c r="B9" s="50" t="inlineStr">
        <is>
          <t>기술 습득</t>
        </is>
      </c>
      <c r="C9" s="50" t="inlineStr">
        <is>
          <t>LearnSkill</t>
        </is>
      </c>
      <c r="D9" s="50" t="inlineStr">
        <is>
          <t>이악물기</t>
        </is>
      </c>
      <c r="E9" s="50" t="n">
        <v>0.3</v>
      </c>
      <c r="F9" s="50" t="n">
        <v>2</v>
      </c>
      <c r="G9" s="51" t="n">
        <v>1</v>
      </c>
      <c r="H9" s="82" t="n"/>
      <c r="I9" s="79" t="n"/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</v>
      </c>
      <c r="Q9" s="79" t="inlineStr">
        <is>
          <t>이악물기 기술을 배웁니다.</t>
        </is>
      </c>
    </row>
    <row r="10">
      <c r="A10" s="45" t="inlineStr">
        <is>
          <t>learn-howl</t>
        </is>
      </c>
      <c r="B10" s="70" t="inlineStr">
        <is>
          <t>기술 습득</t>
        </is>
      </c>
      <c r="C10" s="70" t="inlineStr">
        <is>
          <t>LearnSkill</t>
        </is>
      </c>
      <c r="D10" s="70" t="inlineStr">
        <is>
          <t>울부짖기</t>
        </is>
      </c>
      <c r="E10" s="70" t="n">
        <v>0.3</v>
      </c>
      <c r="F10" s="63" t="n">
        <v>2</v>
      </c>
      <c r="G10" s="51" t="n">
        <v>1</v>
      </c>
      <c r="H10" s="82" t="n"/>
      <c r="I10" s="79" t="n"/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</v>
      </c>
      <c r="Q10" s="79" t="inlineStr">
        <is>
          <t>울부짖기 기술을 배웁니다.</t>
        </is>
      </c>
    </row>
    <row r="11">
      <c r="A11" s="78" t="inlineStr">
        <is>
          <t>learn-bioluminescence</t>
        </is>
      </c>
      <c r="B11" s="70" t="inlineStr">
        <is>
          <t>기술 습득</t>
        </is>
      </c>
      <c r="C11" s="70" t="inlineStr">
        <is>
          <t>LearnSkill</t>
        </is>
      </c>
      <c r="D11" s="70" t="inlineStr">
        <is>
          <t>생체 발광</t>
        </is>
      </c>
      <c r="E11" s="70" t="n">
        <v>0.3</v>
      </c>
      <c r="F11" s="63" t="n">
        <v>2</v>
      </c>
      <c r="G11" s="51" t="n">
        <v>1</v>
      </c>
      <c r="H11" s="82" t="n"/>
      <c r="I11" s="79" t="n"/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</v>
      </c>
      <c r="Q11" s="79" t="inlineStr">
        <is>
          <t>생체 발광 기술을 배웁니다.</t>
        </is>
      </c>
    </row>
    <row r="12">
      <c r="A12" s="45" t="inlineStr">
        <is>
          <t>learn-sharp-senses</t>
        </is>
      </c>
      <c r="B12" s="70" t="inlineStr">
        <is>
          <t>기술 습득</t>
        </is>
      </c>
      <c r="C12" s="70" t="inlineStr">
        <is>
          <t>LearnSkill</t>
        </is>
      </c>
      <c r="D12" s="70" t="inlineStr">
        <is>
          <t>예리한 감각</t>
        </is>
      </c>
      <c r="E12" s="70" t="n">
        <v>0.3</v>
      </c>
      <c r="F12" s="63" t="n">
        <v>2</v>
      </c>
      <c r="G12" s="51" t="n">
        <v>1</v>
      </c>
      <c r="H12" s="82" t="n"/>
      <c r="I12" s="79" t="n"/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0.1</v>
      </c>
      <c r="Q12" s="79" t="inlineStr">
        <is>
          <t>예리한 감각 기술을 배웁니다.</t>
        </is>
      </c>
    </row>
    <row r="13">
      <c r="A13" s="45" t="inlineStr">
        <is>
          <t>learn-light-split</t>
        </is>
      </c>
      <c r="B13" s="70" t="inlineStr">
        <is>
          <t>기술 습득</t>
        </is>
      </c>
      <c r="C13" s="70" t="inlineStr">
        <is>
          <t>LearnSkill</t>
        </is>
      </c>
      <c r="D13" s="70" t="inlineStr">
        <is>
          <t>빛의 분산</t>
        </is>
      </c>
      <c r="E13" s="70" t="n">
        <v>0.3</v>
      </c>
      <c r="F13" s="63" t="n">
        <v>2</v>
      </c>
      <c r="G13" s="51" t="n">
        <v>1</v>
      </c>
      <c r="H13" s="82" t="n"/>
      <c r="I13" s="79" t="n"/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</v>
      </c>
      <c r="Q13" s="79" t="inlineStr">
        <is>
          <t>빛의 분산 기술을 배웁니다.</t>
        </is>
      </c>
    </row>
    <row r="14">
      <c r="A14" t="inlineStr">
        <is>
          <t>learn-light-echo</t>
        </is>
      </c>
      <c r="B14" t="inlineStr">
        <is>
          <t>기술 습득</t>
        </is>
      </c>
      <c r="C14" t="inlineStr">
        <is>
          <t>LearnSkill</t>
        </is>
      </c>
      <c r="D14" t="inlineStr">
        <is>
          <t>빛의 메아리</t>
        </is>
      </c>
      <c r="E14" t="n">
        <v>0.3</v>
      </c>
      <c r="F14" t="n">
        <v>2</v>
      </c>
      <c r="G14" t="n">
        <v>1</v>
      </c>
      <c r="H14" s="79" t="n"/>
      <c r="I14" s="79" t="n"/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</v>
      </c>
      <c r="Q14" s="79" t="inlineStr">
        <is>
          <t>빛의 메아리 기술을 배웁니다.</t>
        </is>
      </c>
    </row>
    <row r="15">
      <c r="A15" t="inlineStr">
        <is>
          <t>learn-life-drain</t>
        </is>
      </c>
      <c r="B15" t="inlineStr">
        <is>
          <t>기술 습득</t>
        </is>
      </c>
      <c r="C15" t="inlineStr">
        <is>
          <t>LearnSkill</t>
        </is>
      </c>
      <c r="D15" t="inlineStr">
        <is>
          <t>생명 흡수</t>
        </is>
      </c>
      <c r="E15" t="n">
        <v>0.3</v>
      </c>
      <c r="F15" t="n">
        <v>2</v>
      </c>
      <c r="G15" t="n">
        <v>1</v>
      </c>
      <c r="H15" s="79" t="n"/>
      <c r="I15" s="79" t="n"/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0.1</v>
      </c>
      <c r="Q15" s="79" t="inlineStr">
        <is>
          <t>생명 흡수 기술을 배웁니다.</t>
        </is>
      </c>
    </row>
    <row r="16">
      <c r="A16" t="inlineStr">
        <is>
          <t>learn-bleeding-cut</t>
        </is>
      </c>
      <c r="B16" t="inlineStr">
        <is>
          <t>기술 습득</t>
        </is>
      </c>
      <c r="C16" t="inlineStr">
        <is>
          <t>LearnSkill</t>
        </is>
      </c>
      <c r="D16" t="inlineStr">
        <is>
          <t>화염구</t>
        </is>
      </c>
      <c r="E16" t="n">
        <v>0.3</v>
      </c>
      <c r="F16" t="n">
        <v>2</v>
      </c>
      <c r="G16" t="n">
        <v>1</v>
      </c>
      <c r="H16" s="79" t="n"/>
      <c r="I16" s="79" t="n"/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</v>
      </c>
      <c r="Q16" s="79" t="inlineStr">
        <is>
          <t>화염구 기술을 배웁니다.</t>
        </is>
      </c>
    </row>
    <row r="17">
      <c r="A17" t="inlineStr">
        <is>
          <t>learn-poison-coat</t>
        </is>
      </c>
      <c r="B17" t="inlineStr">
        <is>
          <t>기술 습득</t>
        </is>
      </c>
      <c r="C17" t="inlineStr">
        <is>
          <t>LearnSkill</t>
        </is>
      </c>
      <c r="D17" t="inlineStr">
        <is>
          <t>독 묻히기</t>
        </is>
      </c>
      <c r="E17" t="n">
        <v>0.3</v>
      </c>
      <c r="F17" t="n">
        <v>2</v>
      </c>
      <c r="G17" t="n">
        <v>1</v>
      </c>
      <c r="H17" s="79" t="n"/>
      <c r="I17" s="79" t="n"/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</v>
      </c>
      <c r="Q17" s="79" t="inlineStr">
        <is>
          <t>독 묻히기 기술을 배웁니다.</t>
        </is>
      </c>
    </row>
    <row r="18">
      <c r="A18" t="inlineStr">
        <is>
          <t>learn-open-wound</t>
        </is>
      </c>
      <c r="B18" t="inlineStr">
        <is>
          <t>기술 습득</t>
        </is>
      </c>
      <c r="C18" t="inlineStr">
        <is>
          <t>LearnSkill</t>
        </is>
      </c>
      <c r="D18" t="inlineStr">
        <is>
          <t>폭렬</t>
        </is>
      </c>
      <c r="E18" t="n">
        <v>0.3</v>
      </c>
      <c r="F18" t="n">
        <v>2</v>
      </c>
      <c r="G18" t="n">
        <v>1</v>
      </c>
      <c r="H18" s="79" t="n"/>
      <c r="I18" s="79" t="n"/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0.1</v>
      </c>
      <c r="Q18" s="79" t="inlineStr">
        <is>
          <t>폭렬 기술을 배웁니다.</t>
        </is>
      </c>
    </row>
    <row r="19">
      <c r="A19" t="inlineStr">
        <is>
          <t>learn-execute</t>
        </is>
      </c>
      <c r="B19" t="inlineStr">
        <is>
          <t>기술 습득</t>
        </is>
      </c>
      <c r="C19" t="inlineStr">
        <is>
          <t>LearnSkill</t>
        </is>
      </c>
      <c r="D19" t="inlineStr">
        <is>
          <t>마무리</t>
        </is>
      </c>
      <c r="E19" t="n">
        <v>0.3</v>
      </c>
      <c r="F19" t="n">
        <v>2</v>
      </c>
      <c r="G19" t="n">
        <v>1</v>
      </c>
      <c r="H19" s="79" t="n"/>
      <c r="I19" s="79" t="n"/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0.1</v>
      </c>
      <c r="Q19" s="79" t="inlineStr">
        <is>
          <t>마무리 기술을 배웁니다.</t>
        </is>
      </c>
    </row>
    <row r="20">
      <c r="A20" t="inlineStr">
        <is>
          <t>learn-overburn</t>
        </is>
      </c>
      <c r="B20" t="inlineStr">
        <is>
          <t>기술 습득</t>
        </is>
      </c>
      <c r="C20" t="inlineStr">
        <is>
          <t>LearnSkill</t>
        </is>
      </c>
      <c r="D20" t="inlineStr">
        <is>
          <t>초과연소</t>
        </is>
      </c>
      <c r="E20" t="n">
        <v>0.3</v>
      </c>
      <c r="F20" t="n">
        <v>2</v>
      </c>
      <c r="G20" t="n">
        <v>1</v>
      </c>
      <c r="H20" s="79" t="n"/>
      <c r="I20" s="79" t="n"/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</v>
      </c>
      <c r="Q20" s="79" t="inlineStr">
        <is>
          <t>초과연소 기술을 배웁니다.</t>
        </is>
      </c>
    </row>
    <row r="21">
      <c r="A21" t="inlineStr">
        <is>
          <t>learn-seal-skill</t>
        </is>
      </c>
      <c r="B21" t="inlineStr">
        <is>
          <t>기술 습득</t>
        </is>
      </c>
      <c r="C21" t="inlineStr">
        <is>
          <t>LearnSkill</t>
        </is>
      </c>
      <c r="D21" t="inlineStr">
        <is>
          <t>봉인</t>
        </is>
      </c>
      <c r="E21" t="n">
        <v>0.3</v>
      </c>
      <c r="F21" t="n">
        <v>2</v>
      </c>
      <c r="G21" t="n">
        <v>1</v>
      </c>
      <c r="H21" s="79" t="n"/>
      <c r="I21" s="79" t="n"/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0.1</v>
      </c>
      <c r="Q21" s="79" t="inlineStr">
        <is>
          <t>봉인 기술을 배웁니다.</t>
        </is>
      </c>
    </row>
    <row r="22">
      <c r="A22" t="inlineStr">
        <is>
          <t>learn-taunt</t>
        </is>
      </c>
      <c r="B22" t="inlineStr">
        <is>
          <t>기술 습득</t>
        </is>
      </c>
      <c r="C22" t="inlineStr">
        <is>
          <t>LearnSkill</t>
        </is>
      </c>
      <c r="D22" t="inlineStr">
        <is>
          <t>도발</t>
        </is>
      </c>
      <c r="E22" t="n">
        <v>0.3</v>
      </c>
      <c r="F22" t="n">
        <v>2</v>
      </c>
      <c r="G22" t="n">
        <v>1</v>
      </c>
      <c r="H22" s="79" t="n"/>
      <c r="I22" s="79" t="n"/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</v>
      </c>
      <c r="Q22" s="79" t="inlineStr">
        <is>
          <t>도발 기술을 배웁니다.</t>
        </is>
      </c>
    </row>
    <row r="23">
      <c r="A23" t="inlineStr">
        <is>
          <t>learn-crack-brand</t>
        </is>
      </c>
      <c r="B23" t="inlineStr">
        <is>
          <t>기술 습득</t>
        </is>
      </c>
      <c r="C23" t="inlineStr">
        <is>
          <t>LearnSkill</t>
        </is>
      </c>
      <c r="D23" t="inlineStr">
        <is>
          <t>균열 낙인</t>
        </is>
      </c>
      <c r="E23" t="n">
        <v>0.3</v>
      </c>
      <c r="F23" t="n">
        <v>2</v>
      </c>
      <c r="G23" t="n">
        <v>1</v>
      </c>
      <c r="H23" s="79" t="n"/>
      <c r="I23" s="79" t="n"/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</v>
      </c>
      <c r="Q23" s="79" t="inlineStr">
        <is>
          <t>균열 낙인 기술을 배웁니다.</t>
        </is>
      </c>
    </row>
    <row r="24">
      <c r="A24" t="inlineStr">
        <is>
          <t>learn-afterglow-save</t>
        </is>
      </c>
      <c r="B24" t="inlineStr">
        <is>
          <t>기술 습득</t>
        </is>
      </c>
      <c r="C24" t="inlineStr">
        <is>
          <t>LearnSkill</t>
        </is>
      </c>
      <c r="D24" t="inlineStr">
        <is>
          <t>잔광 저장</t>
        </is>
      </c>
      <c r="E24" t="n">
        <v>0.3</v>
      </c>
      <c r="F24" t="n">
        <v>2</v>
      </c>
      <c r="G24" t="n">
        <v>1</v>
      </c>
      <c r="H24" s="79" t="n"/>
      <c r="I24" s="79" t="n"/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0.1</v>
      </c>
      <c r="Q24" s="79" t="inlineStr">
        <is>
          <t>잔광 저장 기술을 배웁니다.</t>
        </is>
      </c>
    </row>
    <row r="25">
      <c r="A25" t="inlineStr">
        <is>
          <t>learn-cleanse-hand</t>
        </is>
      </c>
      <c r="B25" t="inlineStr">
        <is>
          <t>기술 습득</t>
        </is>
      </c>
      <c r="C25" t="inlineStr">
        <is>
          <t>LearnSkill</t>
        </is>
      </c>
      <c r="D25" t="inlineStr">
        <is>
          <t>정화의 손길</t>
        </is>
      </c>
      <c r="E25" t="n">
        <v>0.3</v>
      </c>
      <c r="F25" t="n">
        <v>2</v>
      </c>
      <c r="G25" t="n">
        <v>1</v>
      </c>
      <c r="H25" s="79" t="n"/>
      <c r="I25" s="79" t="n"/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0.1</v>
      </c>
      <c r="Q25" s="79" t="inlineStr">
        <is>
          <t>정화의 손길 기술을 배웁니다.</t>
        </is>
      </c>
    </row>
    <row r="26">
      <c r="H26" s="79" t="n"/>
      <c r="I26" s="79" t="n"/>
      <c r="Q26" s="79" t="n"/>
    </row>
    <row r="27">
      <c r="H27" s="79" t="n"/>
      <c r="I27" s="79" t="n"/>
      <c r="Q27" s="79" t="n"/>
    </row>
    <row r="28">
      <c r="A28" s="67" t="inlineStr">
        <is>
          <t>Scenario</t>
        </is>
      </c>
      <c r="B28" s="67" t="inlineStr">
        <is>
          <t>Difficulty</t>
        </is>
      </c>
      <c r="C28" s="67" t="inlineStr">
        <is>
          <t>Remaining Moves</t>
        </is>
      </c>
      <c r="D28" s="67" t="inlineStr">
        <is>
          <t>OverCost</t>
        </is>
      </c>
      <c r="E28" s="67" t="inlineStr">
        <is>
          <t>Turn Count</t>
        </is>
      </c>
      <c r="F28" s="67" t="inlineStr">
        <is>
          <t>Score</t>
        </is>
      </c>
      <c r="H28" s="79" t="n"/>
      <c r="I28" s="79" t="n"/>
      <c r="Q28" s="79" t="n"/>
    </row>
    <row r="29">
      <c r="A29" t="inlineStr">
        <is>
          <t>빠른 승리</t>
        </is>
      </c>
      <c r="B29" t="n">
        <v>1</v>
      </c>
      <c r="C29" t="n">
        <v>2</v>
      </c>
      <c r="D29" t="n">
        <v>0</v>
      </c>
      <c r="E29" t="n">
        <v>3</v>
      </c>
      <c r="F29" s="79">
        <f>MAX(Inputs!$B$16,$B29*Inputs!$B$12+$C29*Inputs!$B$13+$D29*Inputs!$B$14-$E29*Inputs!$B$15)</f>
        <v/>
      </c>
      <c r="H29" s="79" t="n"/>
      <c r="I29" s="79" t="n"/>
      <c r="Q29" s="79" t="n"/>
    </row>
    <row r="30">
      <c r="A30" t="inlineStr">
        <is>
          <t>표준 승리</t>
        </is>
      </c>
      <c r="B30" t="n">
        <v>1</v>
      </c>
      <c r="C30" t="n">
        <v>1</v>
      </c>
      <c r="D30" t="n">
        <v>2</v>
      </c>
      <c r="E30" t="n">
        <v>6</v>
      </c>
      <c r="F30" s="79">
        <f>MAX(Inputs!$B$16,$B30*Inputs!$B$12+$C30*Inputs!$B$13+$D30*Inputs!$B$14-$E30*Inputs!$B$15)</f>
        <v/>
      </c>
      <c r="H30" s="79" t="n"/>
      <c r="I30" s="79" t="n"/>
      <c r="Q30" s="79" t="n"/>
    </row>
    <row r="31">
      <c r="A31" t="inlineStr">
        <is>
          <t>고난도 빠른 승리</t>
        </is>
      </c>
      <c r="B31" t="n">
        <v>2</v>
      </c>
      <c r="C31" t="n">
        <v>2</v>
      </c>
      <c r="D31" t="n">
        <v>0</v>
      </c>
      <c r="E31" t="n">
        <v>5</v>
      </c>
      <c r="F31" s="79">
        <f>MAX(Inputs!$B$16,$B31*Inputs!$B$12+$C31*Inputs!$B$13+$D31*Inputs!$B$14-$E31*Inputs!$B$15)</f>
        <v/>
      </c>
      <c r="H31" s="79" t="n"/>
      <c r="I31" s="79" t="n"/>
      <c r="Q31" s="79" t="n"/>
    </row>
    <row r="32">
      <c r="A32" t="inlineStr">
        <is>
          <t>고난도 장기전</t>
        </is>
      </c>
      <c r="B32" t="n">
        <v>2</v>
      </c>
      <c r="C32" t="n">
        <v>0</v>
      </c>
      <c r="D32" t="n">
        <v>4</v>
      </c>
      <c r="E32" t="n">
        <v>9</v>
      </c>
      <c r="F32" s="79">
        <f>MAX(Inputs!$B$16,$B32*Inputs!$B$12+$C32*Inputs!$B$13+$D32*Inputs!$B$14-$E32*Inputs!$B$15)</f>
        <v/>
      </c>
      <c r="H32" s="79" t="n"/>
      <c r="I32" s="79" t="n"/>
      <c r="Q32" s="79" t="n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2" customWidth="1" min="3" max="3"/>
    <col width="58" customWidth="1" min="4" max="4"/>
    <col width="14" customWidth="1" min="5" max="5"/>
    <col width="20" customWidth="1" min="6" max="6"/>
  </cols>
  <sheetData>
    <row r="1" ht="25.5" customHeight="1">
      <c r="A1" s="65" t="inlineStr">
        <is>
          <t>개발 전달 메모</t>
        </is>
      </c>
      <c r="G1" s="51" t="n"/>
      <c r="H1" s="51" t="n"/>
    </row>
    <row r="2" ht="19.5" customHeight="1">
      <c r="A2" s="73" t="inlineStr">
        <is>
          <t>밸런스 시트가 참조하는 현재 런타임 소스와 조정 포인트입니다.</t>
        </is>
      </c>
    </row>
    <row r="3">
      <c r="A3" s="51" t="n"/>
      <c r="B3" s="51" t="n"/>
      <c r="C3" s="51" t="n"/>
      <c r="D3" s="51" t="n"/>
      <c r="E3" s="51" t="n"/>
      <c r="F3" s="51" t="n"/>
      <c r="G3" s="51" t="n"/>
      <c r="H3" s="51" t="n"/>
    </row>
    <row r="4">
      <c r="A4" s="67" t="inlineStr">
        <is>
          <t>튜닝 항목</t>
        </is>
      </c>
      <c r="B4" s="67" t="inlineStr">
        <is>
          <t>참조 시트</t>
        </is>
      </c>
      <c r="C4" s="67" t="inlineStr">
        <is>
          <t>요청 값/범위</t>
        </is>
      </c>
      <c r="D4" s="67" t="inlineStr">
        <is>
          <t>기획 의도</t>
        </is>
      </c>
      <c r="E4" s="67" t="inlineStr">
        <is>
          <t>우선순위</t>
        </is>
      </c>
      <c r="F4" s="67" t="inlineStr">
        <is>
          <t>개발 확인</t>
        </is>
      </c>
      <c r="G4" s="51" t="n"/>
      <c r="H4" s="51" t="n"/>
    </row>
    <row r="5" ht="34.5" customHeight="1">
      <c r="A5" s="60" t="inlineStr">
        <is>
          <t>타일별 코스트</t>
        </is>
      </c>
      <c r="B5" s="60" t="inlineStr">
        <is>
          <t>TileCost</t>
        </is>
      </c>
      <c r="C5" s="60" t="inlineStr">
        <is>
          <t>Current/Target Cost</t>
        </is>
      </c>
      <c r="D5" s="78" t="inlineStr">
        <is>
          <t>CostConverter log2 기반 보드 코스트 체감 조정</t>
        </is>
      </c>
      <c r="E5" s="60" t="inlineStr">
        <is>
          <t>Core</t>
        </is>
      </c>
      <c r="F5" s="60" t="inlineStr"/>
      <c r="G5" s="51" t="n"/>
      <c r="H5" s="51" t="n"/>
    </row>
    <row r="6" ht="34.5" customHeight="1">
      <c r="A6" s="60" t="inlineStr">
        <is>
          <t>플레이어 스탯</t>
        </is>
      </c>
      <c r="B6" s="60" t="inlineStr">
        <is>
          <t>Inputs</t>
        </is>
      </c>
      <c r="C6" s="60" t="inlineStr">
        <is>
          <t>HP/공격/방어/보드 이동/치명</t>
        </is>
      </c>
      <c r="D6" s="60" t="inlineStr">
        <is>
          <t>초반 생존력과 턴당 스킬 사용량 조정</t>
        </is>
      </c>
      <c r="E6" s="60" t="inlineStr">
        <is>
          <t>Core</t>
        </is>
      </c>
      <c r="F6" s="60" t="inlineStr"/>
      <c r="G6" s="51" t="n"/>
      <c r="H6" s="51" t="n"/>
    </row>
    <row r="7" ht="34.5" customHeight="1">
      <c r="A7" s="60" t="inlineStr">
        <is>
          <t>스킬 코스트/위력/효과</t>
        </is>
      </c>
      <c r="B7" s="60" t="inlineStr">
        <is>
          <t>Skills</t>
        </is>
      </c>
      <c r="C7" s="78" t="inlineStr">
        <is>
          <t>Cost / Power / Effect Summary</t>
        </is>
      </c>
      <c r="D7" s="78" t="inlineStr">
        <is>
          <t>42개 SkillSO 전체 역할과 효율 비교</t>
        </is>
      </c>
      <c r="E7" s="60" t="inlineStr">
        <is>
          <t>Core</t>
        </is>
      </c>
      <c r="F7" s="60" t="inlineStr">
        <is>
          <t>Rank multipliers: see Inputs F:H. Positive attack/defense rank uses (2+rank)/2, so +2 is x2.</t>
        </is>
      </c>
      <c r="G7" s="51" t="n"/>
      <c r="H7" s="51" t="n"/>
    </row>
    <row r="8" ht="34.5" customHeight="1">
      <c r="A8" s="60" t="inlineStr">
        <is>
          <t>적 HP/공격/AI/스킬 4칸</t>
        </is>
      </c>
      <c r="B8" s="60" t="inlineStr">
        <is>
          <t>Enemies</t>
        </is>
      </c>
      <c r="C8" s="78" t="inlineStr">
        <is>
          <t>EnemySO stats + Skill 1-4</t>
        </is>
      </c>
      <c r="D8" s="78" t="inlineStr">
        <is>
          <t>전투 길이, 피해 압박, 상태효과 압박 조정</t>
        </is>
      </c>
      <c r="E8" s="60" t="inlineStr">
        <is>
          <t>Core</t>
        </is>
      </c>
      <c r="F8" s="60" t="inlineStr"/>
      <c r="G8" s="51" t="n"/>
      <c r="H8" s="51" t="n"/>
    </row>
    <row r="9" ht="34.5" customHeight="1">
      <c r="A9" s="60" t="inlineStr">
        <is>
          <t>보상 및 기술 습득</t>
        </is>
      </c>
      <c r="B9" s="60" t="inlineStr">
        <is>
          <t>RewardsScore</t>
        </is>
      </c>
      <c r="C9" s="78" t="inlineStr">
        <is>
          <t>RewardTableSO + BattleRewardSO</t>
        </is>
      </c>
      <c r="D9" s="60" t="inlineStr">
        <is>
          <t>런 진행 성장/보상 선택 가치 조정</t>
        </is>
      </c>
      <c r="E9" s="60" t="inlineStr">
        <is>
          <t>Retune</t>
        </is>
      </c>
      <c r="F9" s="60" t="inlineStr">
        <is>
          <t>Temporary attack/defense rewards now apply next-combat rank bonuses. Rank changes persist until combat reset.</t>
        </is>
      </c>
      <c r="G9" s="51" t="n"/>
      <c r="H9" s="51" t="n"/>
    </row>
    <row r="10" ht="34.5" customHeight="1">
      <c r="A10" s="60" t="inlineStr">
        <is>
          <t>20스테이지 흐름</t>
        </is>
      </c>
      <c r="B10" s="60" t="inlineStr">
        <is>
          <t>CombatSim</t>
        </is>
      </c>
      <c r="C10" s="78" t="inlineStr">
        <is>
          <t>Stage/Enemy/Skill/Turns</t>
        </is>
      </c>
      <c r="D10" s="78" t="inlineStr">
        <is>
          <t>현재 finalStageIndex 기준으로 전투 위험도 점검</t>
        </is>
      </c>
      <c r="E10" s="60" t="inlineStr">
        <is>
          <t>Retune</t>
        </is>
      </c>
      <c r="F10" s="60" t="inlineStr"/>
      <c r="G10" s="51" t="n"/>
      <c r="H10" s="51" t="n"/>
    </row>
    <row r="11" ht="34.5" customHeight="1">
      <c r="A11" s="60" t="n"/>
      <c r="B11" s="60" t="n"/>
      <c r="C11" s="60" t="n"/>
      <c r="D11" s="60" t="n"/>
      <c r="E11" s="60" t="n"/>
      <c r="F11" s="60" t="n"/>
      <c r="G11" s="51" t="n"/>
      <c r="H11" s="51" t="n"/>
    </row>
  </sheetData>
  <pageMargins left="0.7" right="0.7" top="0.75" bottom="0.75" header="0.3" footer="0.3"/>
  <tableParts count="1">
    <tablePart ns1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7" t="inlineStr">
        <is>
          <t>SkillType</t>
        </is>
      </c>
      <c r="B1" s="67" t="inlineStr">
        <is>
          <t>AI Bias</t>
        </is>
      </c>
      <c r="C1" s="67" t="inlineStr">
        <is>
          <t>Debuff Pattern</t>
        </is>
      </c>
      <c r="D1" s="67" t="inlineStr">
        <is>
          <t>Encounter Rank</t>
        </is>
      </c>
      <c r="E1" s="67" t="inlineStr">
        <is>
          <t>AI Strength</t>
        </is>
      </c>
      <c r="F1" s="67" t="inlineStr">
        <is>
          <t>Enemy Names</t>
        </is>
      </c>
      <c r="G1" s="67" t="inlineStr">
        <is>
          <t>Skill Names</t>
        </is>
      </c>
      <c r="H1" s="67" t="inlineStr">
        <is>
          <t>Availability</t>
        </is>
      </c>
      <c r="I1" s="83" t="inlineStr">
        <is>
          <t>Sim Status</t>
        </is>
      </c>
    </row>
    <row r="2">
      <c r="A2" s="45" t="inlineStr">
        <is>
          <t>Attack</t>
        </is>
      </c>
      <c r="B2" s="45" t="inlineStr">
        <is>
          <t>Balanced</t>
        </is>
      </c>
      <c r="C2" s="45" t="inlineStr">
        <is>
          <t>FearThenDarkness</t>
        </is>
      </c>
      <c r="D2" s="45" t="inlineStr">
        <is>
          <t>Normal</t>
        </is>
      </c>
      <c r="E2" s="45" t="inlineStr">
        <is>
          <t>Normal</t>
        </is>
      </c>
      <c r="F2" s="45" t="inlineStr">
        <is>
          <t>그림자 늑대</t>
        </is>
      </c>
      <c r="G2" s="45" t="inlineStr">
        <is>
          <t>빠른 찌르기</t>
        </is>
      </c>
      <c r="H2" s="45" t="inlineStr">
        <is>
          <t>Shared</t>
        </is>
      </c>
      <c r="I2" t="inlineStr">
        <is>
          <t>OK</t>
        </is>
      </c>
    </row>
    <row r="3">
      <c r="A3" s="45" t="inlineStr">
        <is>
          <t>Debuff</t>
        </is>
      </c>
      <c r="B3" s="45" t="inlineStr">
        <is>
          <t>AttackHeavy</t>
        </is>
      </c>
      <c r="C3" s="45" t="inlineStr">
        <is>
          <t>DarknessThenFear</t>
        </is>
      </c>
      <c r="D3" s="45" t="inlineStr">
        <is>
          <t>Elite</t>
        </is>
      </c>
      <c r="E3" s="45" t="inlineStr">
        <is>
          <t>Enhanced</t>
        </is>
      </c>
      <c r="F3" s="45" t="inlineStr">
        <is>
          <t>속박된 전율</t>
        </is>
      </c>
      <c r="G3" s="45" t="inlineStr">
        <is>
          <t>초과연소</t>
        </is>
      </c>
      <c r="H3" s="45" t="inlineStr">
        <is>
          <t>PlayerOnly</t>
        </is>
      </c>
      <c r="I3" t="inlineStr">
        <is>
          <t>주의</t>
        </is>
      </c>
    </row>
    <row r="4">
      <c r="A4" s="45" t="inlineStr">
        <is>
          <t>Defense</t>
        </is>
      </c>
      <c r="B4" s="45" t="inlineStr">
        <is>
          <t>DefenseHeavy</t>
        </is>
      </c>
      <c r="C4" s="45" t="n"/>
      <c r="D4" s="45" t="inlineStr">
        <is>
          <t>Boss</t>
        </is>
      </c>
      <c r="E4" s="45" t="n"/>
      <c r="F4" s="45" t="inlineStr">
        <is>
          <t>거짓된 미소</t>
        </is>
      </c>
      <c r="G4" s="45" t="inlineStr">
        <is>
          <t>독 묻히기</t>
        </is>
      </c>
      <c r="H4" s="45" t="inlineStr">
        <is>
          <t>EnemyOnly</t>
        </is>
      </c>
      <c r="I4" t="inlineStr">
        <is>
          <t>위험</t>
        </is>
      </c>
    </row>
    <row r="5">
      <c r="A5" s="45" t="inlineStr">
        <is>
          <t>Heal</t>
        </is>
      </c>
      <c r="B5" s="45" t="n"/>
      <c r="C5" s="45" t="n"/>
      <c r="D5" s="45" t="inlineStr">
        <is>
          <t>FinalBoss</t>
        </is>
      </c>
      <c r="E5" s="45" t="n"/>
      <c r="F5" s="45" t="inlineStr">
        <is>
          <t>푸른심장</t>
        </is>
      </c>
      <c r="G5" s="45" t="inlineStr">
        <is>
          <t>방패 밀치기</t>
        </is>
      </c>
      <c r="H5" s="45" t="inlineStr">
        <is>
          <t>Disabled</t>
        </is>
      </c>
      <c r="I5" t="inlineStr">
        <is>
          <t>공격 부족</t>
        </is>
      </c>
    </row>
    <row r="6">
      <c r="A6" s="45" t="n"/>
      <c r="B6" s="45" t="n"/>
      <c r="C6" s="45" t="n"/>
      <c r="D6" s="45" t="n"/>
      <c r="E6" s="45" t="n"/>
      <c r="F6" s="45" t="inlineStr">
        <is>
          <t>푸른귀 들쥐</t>
        </is>
      </c>
      <c r="G6" s="45" t="inlineStr">
        <is>
          <t>출혈 베기</t>
        </is>
      </c>
      <c r="H6" s="45" t="n"/>
      <c r="I6" t="inlineStr">
        <is>
          <t>스킬 확인</t>
        </is>
      </c>
    </row>
    <row r="7">
      <c r="A7" s="45" t="n"/>
      <c r="B7" s="45" t="n"/>
      <c r="C7" s="45" t="n"/>
      <c r="D7" s="45" t="n"/>
      <c r="E7" s="45" t="n"/>
      <c r="F7" s="45" t="inlineStr">
        <is>
          <t>물결치는 역병</t>
        </is>
      </c>
      <c r="G7" s="45" t="inlineStr">
        <is>
          <t>마무리</t>
        </is>
      </c>
      <c r="H7" s="45" t="n"/>
    </row>
    <row r="8">
      <c r="A8" s="45" t="n"/>
      <c r="B8" s="45" t="n"/>
      <c r="C8" s="45" t="n"/>
      <c r="D8" s="45" t="n"/>
      <c r="E8" s="45" t="n"/>
      <c r="F8" s="45" t="inlineStr">
        <is>
          <t>외눈 추적자</t>
        </is>
      </c>
      <c r="G8" s="45" t="inlineStr">
        <is>
          <t>빛 모으기</t>
        </is>
      </c>
      <c r="H8" s="45" t="n"/>
    </row>
    <row r="9">
      <c r="A9" s="45" t="n"/>
      <c r="B9" s="45" t="n"/>
      <c r="C9" s="45" t="n"/>
      <c r="D9" s="45" t="n"/>
      <c r="E9" s="45" t="n"/>
      <c r="F9" s="45" t="inlineStr">
        <is>
          <t>카르민느</t>
        </is>
      </c>
      <c r="G9" s="45" t="inlineStr">
        <is>
          <t>빛 발사</t>
        </is>
      </c>
      <c r="H9" s="45" t="n"/>
    </row>
    <row r="10">
      <c r="A10" s="45" t="n"/>
      <c r="B10" s="45" t="n"/>
      <c r="C10" s="45" t="n"/>
      <c r="D10" s="45" t="n"/>
      <c r="E10" s="45" t="n"/>
      <c r="F10" s="45" t="inlineStr">
        <is>
          <t>소용돌이치는 혼돈</t>
        </is>
      </c>
      <c r="G10" s="45" t="inlineStr">
        <is>
          <t>촉수 치기</t>
        </is>
      </c>
      <c r="H10" s="45" t="n"/>
    </row>
    <row r="11">
      <c r="A11" s="45" t="n"/>
      <c r="B11" s="45" t="n"/>
      <c r="C11" s="45" t="n"/>
      <c r="D11" s="45" t="n"/>
      <c r="E11" s="45" t="n"/>
      <c r="F11" s="45" t="inlineStr">
        <is>
          <t>나선뿔 목동</t>
        </is>
      </c>
      <c r="G11" s="45" t="inlineStr">
        <is>
          <t>피의 이빨</t>
        </is>
      </c>
      <c r="H11" s="45" t="n"/>
    </row>
    <row r="12">
      <c r="A12" s="45" t="n"/>
      <c r="B12" s="45" t="n"/>
      <c r="C12" s="45" t="n"/>
      <c r="D12" s="45" t="n"/>
      <c r="E12" s="45" t="n"/>
      <c r="F12" s="45" t="inlineStr">
        <is>
          <t>다층 갑각</t>
        </is>
      </c>
      <c r="G12" s="45" t="inlineStr">
        <is>
          <t>육중한 압박</t>
        </is>
      </c>
      <c r="H12" s="45" t="n"/>
    </row>
    <row r="13">
      <c r="A13" s="45" t="n"/>
      <c r="B13" s="45" t="n"/>
      <c r="C13" s="45" t="n"/>
      <c r="D13" s="45" t="n"/>
      <c r="E13" s="45" t="n"/>
      <c r="F13" s="45" t="inlineStr">
        <is>
          <t>네크릴라</t>
        </is>
      </c>
      <c r="G13" s="45" t="inlineStr">
        <is>
          <t>흐름 가르기</t>
        </is>
      </c>
      <c r="H13" s="45" t="n"/>
    </row>
    <row r="14">
      <c r="A14" s="45" t="n"/>
      <c r="B14" s="45" t="n"/>
      <c r="C14" s="45" t="n"/>
      <c r="D14" s="45" t="n"/>
      <c r="E14" s="45" t="n"/>
      <c r="F14" s="45" t="n"/>
      <c r="G14" s="45" t="inlineStr">
        <is>
          <t>위협 사격</t>
        </is>
      </c>
      <c r="H14" s="45" t="n"/>
    </row>
    <row r="15">
      <c r="A15" s="45" t="n"/>
      <c r="B15" s="45" t="n"/>
      <c r="C15" s="45" t="n"/>
      <c r="D15" s="45" t="n"/>
      <c r="E15" s="45" t="n"/>
      <c r="F15" s="45" t="n"/>
      <c r="G15" s="45" t="inlineStr">
        <is>
          <t>생명 흡수</t>
        </is>
      </c>
      <c r="H15" s="45" t="n"/>
    </row>
    <row r="16">
      <c r="A16" s="45" t="n"/>
      <c r="B16" s="45" t="n"/>
      <c r="C16" s="45" t="n"/>
      <c r="D16" s="45" t="n"/>
      <c r="E16" s="45" t="n"/>
      <c r="F16" s="45" t="n"/>
      <c r="G16" s="45" t="inlineStr">
        <is>
          <t>상처 벌리기</t>
        </is>
      </c>
      <c r="H16" s="45" t="n"/>
    </row>
    <row r="17">
      <c r="A17" s="45" t="n"/>
      <c r="B17" s="45" t="n"/>
      <c r="C17" s="45" t="n"/>
      <c r="D17" s="45" t="n"/>
      <c r="E17" s="45" t="n"/>
      <c r="F17" s="45" t="n"/>
      <c r="G17" s="45" t="inlineStr">
        <is>
          <t>방패 폭발</t>
        </is>
      </c>
      <c r="H17" s="45" t="n"/>
    </row>
    <row r="18">
      <c r="A18" s="45" t="n"/>
      <c r="B18" s="45" t="n"/>
      <c r="C18" s="45" t="n"/>
      <c r="D18" s="45" t="n"/>
      <c r="E18" s="45" t="n"/>
      <c r="F18" s="45" t="n"/>
      <c r="G18" s="45" t="inlineStr">
        <is>
          <t>생체 발광</t>
        </is>
      </c>
      <c r="H18" s="45" t="n"/>
    </row>
    <row r="19">
      <c r="A19" s="45" t="n"/>
      <c r="B19" s="45" t="n"/>
      <c r="C19" s="45" t="n"/>
      <c r="D19" s="45" t="n"/>
      <c r="E19" s="45" t="n"/>
      <c r="F19" s="45" t="n"/>
      <c r="G19" s="45" t="inlineStr">
        <is>
          <t>강타</t>
        </is>
      </c>
      <c r="H19" s="45" t="n"/>
    </row>
    <row r="20">
      <c r="A20" s="45" t="n"/>
      <c r="B20" s="45" t="n"/>
      <c r="C20" s="45" t="n"/>
      <c r="D20" s="45" t="n"/>
      <c r="E20" s="45" t="n"/>
      <c r="F20" s="45" t="n"/>
      <c r="G20" s="45" t="inlineStr">
        <is>
          <t>무리한 강타</t>
        </is>
      </c>
      <c r="H20" s="45" t="n"/>
    </row>
    <row r="21">
      <c r="A21" s="45" t="n"/>
      <c r="B21" s="45" t="n"/>
      <c r="C21" s="45" t="n"/>
      <c r="D21" s="45" t="n"/>
      <c r="E21" s="45" t="n"/>
      <c r="F21" s="45" t="n"/>
      <c r="G21" s="45" t="inlineStr">
        <is>
          <t>균열 낙인</t>
        </is>
      </c>
      <c r="H21" s="45" t="n"/>
    </row>
    <row r="22">
      <c r="A22" s="45" t="n"/>
      <c r="B22" s="45" t="n"/>
      <c r="C22" s="45" t="n"/>
      <c r="D22" s="45" t="n"/>
      <c r="E22" s="45" t="n"/>
      <c r="F22" s="45" t="n"/>
      <c r="G22" s="45" t="inlineStr">
        <is>
          <t>섬광</t>
        </is>
      </c>
      <c r="H22" s="45" t="n"/>
    </row>
    <row r="23">
      <c r="A23" s="45" t="n"/>
      <c r="B23" s="45" t="n"/>
      <c r="C23" s="45" t="n"/>
      <c r="D23" s="45" t="n"/>
      <c r="E23" s="45" t="n"/>
      <c r="F23" s="45" t="n"/>
      <c r="G23" s="45" t="inlineStr">
        <is>
          <t>울부짖기</t>
        </is>
      </c>
      <c r="H23" s="45" t="n"/>
    </row>
    <row r="24">
      <c r="A24" s="45" t="n"/>
      <c r="B24" s="45" t="n"/>
      <c r="C24" s="45" t="n"/>
      <c r="D24" s="45" t="n"/>
      <c r="E24" s="45" t="n"/>
      <c r="F24" s="45" t="n"/>
      <c r="G24" s="45" t="inlineStr">
        <is>
          <t>도발</t>
        </is>
      </c>
      <c r="H24" s="45" t="n"/>
    </row>
    <row r="25">
      <c r="A25" s="45" t="n"/>
      <c r="B25" s="45" t="n"/>
      <c r="C25" s="45" t="n"/>
      <c r="D25" s="45" t="n"/>
      <c r="E25" s="45" t="n"/>
      <c r="F25" s="45" t="n"/>
      <c r="G25" s="45" t="inlineStr">
        <is>
          <t>봉인</t>
        </is>
      </c>
      <c r="H25" s="45" t="n"/>
    </row>
    <row r="26">
      <c r="A26" s="45" t="n"/>
      <c r="B26" s="45" t="n"/>
      <c r="C26" s="45" t="n"/>
      <c r="D26" s="45" t="n"/>
      <c r="E26" s="45" t="n"/>
      <c r="F26" s="45" t="n"/>
      <c r="G26" s="45" t="inlineStr">
        <is>
          <t>잔광 저장</t>
        </is>
      </c>
      <c r="H26" s="45" t="n"/>
    </row>
    <row r="27">
      <c r="A27" s="45" t="n"/>
      <c r="B27" s="45" t="n"/>
      <c r="C27" s="45" t="n"/>
      <c r="D27" s="45" t="n"/>
      <c r="E27" s="45" t="n"/>
      <c r="F27" s="45" t="n"/>
      <c r="G27" s="45" t="inlineStr">
        <is>
          <t>정화의 손길</t>
        </is>
      </c>
      <c r="H27" s="45" t="n"/>
    </row>
    <row r="28">
      <c r="A28" s="45" t="n"/>
      <c r="B28" s="45" t="n"/>
      <c r="C28" s="45" t="n"/>
      <c r="D28" s="45" t="n"/>
      <c r="E28" s="45" t="n"/>
      <c r="F28" s="45" t="n"/>
      <c r="G28" s="45" t="inlineStr">
        <is>
          <t>집중 호흡</t>
        </is>
      </c>
      <c r="H28" s="45" t="n"/>
    </row>
    <row r="29">
      <c r="A29" s="45" t="n"/>
      <c r="B29" s="45" t="n"/>
      <c r="C29" s="45" t="n"/>
      <c r="D29" s="45" t="n"/>
      <c r="E29" s="45" t="n"/>
      <c r="F29" s="45" t="n"/>
      <c r="G29" s="45" t="inlineStr">
        <is>
          <t>낮은 자세</t>
        </is>
      </c>
      <c r="H29" s="45" t="n"/>
    </row>
    <row r="30">
      <c r="A30" s="45" t="n"/>
      <c r="B30" s="45" t="n"/>
      <c r="C30" s="45" t="n"/>
      <c r="D30" s="45" t="n"/>
      <c r="E30" s="45" t="n"/>
      <c r="F30" s="45" t="n"/>
      <c r="G30" s="45" t="inlineStr">
        <is>
          <t>빛의 메아리</t>
        </is>
      </c>
      <c r="H30" s="45" t="n"/>
    </row>
    <row r="31">
      <c r="G31" t="inlineStr">
        <is>
          <t>이악물기</t>
        </is>
      </c>
    </row>
    <row r="32">
      <c r="G32" t="inlineStr">
        <is>
          <t>철벽</t>
        </is>
      </c>
    </row>
    <row r="33">
      <c r="G33" t="inlineStr">
        <is>
          <t>빛 방어</t>
        </is>
      </c>
    </row>
    <row r="34">
      <c r="G34" t="inlineStr">
        <is>
          <t>빛의 분산</t>
        </is>
      </c>
    </row>
    <row r="35">
      <c r="G35" t="inlineStr">
        <is>
          <t>예리한 감각</t>
        </is>
      </c>
    </row>
    <row r="36">
      <c r="G36" t="inlineStr">
        <is>
          <t>가시 방어</t>
        </is>
      </c>
    </row>
    <row r="37">
      <c r="G37" t="inlineStr">
        <is>
          <t>빛 회복</t>
        </is>
      </c>
    </row>
    <row r="38">
      <c r="G38" t="inlineStr">
        <is>
          <t>어둠의 족쇄</t>
        </is>
      </c>
    </row>
    <row r="39">
      <c r="G39" t="inlineStr">
        <is>
          <t>검은 부식</t>
        </is>
      </c>
    </row>
    <row r="40">
      <c r="G40" t="inlineStr">
        <is>
          <t>검은 압박</t>
        </is>
      </c>
    </row>
    <row r="41">
      <c r="G41" t="inlineStr">
        <is>
          <t>암흑</t>
        </is>
      </c>
    </row>
    <row r="42">
      <c r="G42" t="inlineStr">
        <is>
          <t>깊은 암흑</t>
        </is>
      </c>
    </row>
    <row r="43">
      <c r="G43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2026-05-24T03:06:14Z</dcterms:created>
  <dcterms:modified xsi:type="dcterms:W3CDTF">2026-05-24T03:49:23Z</dcterms:modified>
</cp:coreProperties>
</file>