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drawings/charts/chart3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3a0b9cde394f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2c9ab81a49240ac"/>
    <x:sheet xmlns:r="http://schemas.openxmlformats.org/officeDocument/2006/relationships" name="Inputs" sheetId="2" r:id="R4087e362afa34bca"/>
    <x:sheet xmlns:r="http://schemas.openxmlformats.org/officeDocument/2006/relationships" name="TileCost" sheetId="3" r:id="R19fd182ce215459f"/>
    <x:sheet xmlns:r="http://schemas.openxmlformats.org/officeDocument/2006/relationships" name="Skills" sheetId="4" r:id="R11f43445f8c54473"/>
    <x:sheet xmlns:r="http://schemas.openxmlformats.org/officeDocument/2006/relationships" name="Enemies" sheetId="5" r:id="R46153447945f4bda"/>
    <x:sheet xmlns:r="http://schemas.openxmlformats.org/officeDocument/2006/relationships" name="CombatSim" sheetId="6" r:id="R1f8b356828874f12"/>
    <x:sheet xmlns:r="http://schemas.openxmlformats.org/officeDocument/2006/relationships" name="RewardsScore" sheetId="7" r:id="R5d9572d7318641bc"/>
    <x:sheet xmlns:r="http://schemas.openxmlformats.org/officeDocument/2006/relationships" name="DevHandoff" sheetId="8" r:id="Re6edf365e858453a"/>
    <x:sheet xmlns:r="http://schemas.openxmlformats.org/officeDocument/2006/relationships" name="Lists" sheetId="9" r:id="R0e7ecd2768ee4c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"/>
    <x:numFmt numFmtId="201" formatCode="0"/>
    <x:numFmt numFmtId="202" formatCode="0.000"/>
    <x:numFmt numFmtId="203" formatCode="+0;-0;0"/>
    <x:numFmt numFmtId="204" formatCode="0%"/>
    <x:numFmt numFmtId="205" formatCode="0.0"/>
  </x:numFmts>
  <x:fonts count="9">
    <x:font>
      <x:sz val="11"/>
      <x:name val="Carlito"/>
    </x:font>
    <x:font>
      <x:b/>
      <x:sz val="11"/>
      <x:color rgb="1F2933"/>
      <x:name val="Carlito"/>
    </x:font>
    <x:font>
      <x:sz val="11"/>
      <x:color rgb="1F2933"/>
      <x:name val="Carlito"/>
    </x:font>
    <x:font>
      <x:b/>
      <x:sz val="15"/>
      <x:color rgb="FFFFFF"/>
      <x:name val="Carlito"/>
    </x:font>
    <x:font>
      <x:sz val="10"/>
      <x:color rgb="1F2933"/>
      <x:name val="Carlito"/>
    </x:font>
    <x:font>
      <x:b/>
      <x:sz val="11"/>
      <x:color rgb="FFFFFF"/>
      <x:name val="Carlito"/>
    </x:font>
    <x:font>
      <x:b/>
      <x:sz val="10"/>
      <x:color rgb="1F2933"/>
      <x:name val="맑은 고딕"/>
    </x:font>
    <x:font>
      <x:sz val="10"/>
      <x:color rgb="1F2933"/>
      <x:name val="맑은 고딕"/>
    </x:font>
    <x:font>
      <x:b/>
      <x:sz val="15"/>
      <x:color rgb="FFFFFF"/>
      <x:name val="맑은 고딕"/>
    </x:font>
  </x:fonts>
  <x:fills count="10">
    <x:fill>
      <x:patternFill patternType="none"/>
    </x:fill>
    <x:fill>
      <x:patternFill patternType="gray125"/>
    </x:fill>
    <x:fill>
      <x:patternFill patternType="solid">
        <x:fgColor rgb="D9EAF7"/>
      </x:patternFill>
    </x:fill>
    <x:fill>
      <x:patternFill patternType="solid">
        <x:fgColor rgb="FFFFFF"/>
      </x:patternFill>
    </x:fill>
    <x:fill>
      <x:patternFill patternType="solid">
        <x:fgColor rgb="17324D"/>
      </x:patternFill>
    </x:fill>
    <x:fill>
      <x:patternFill patternType="solid">
        <x:fgColor rgb="EAF2F8"/>
      </x:patternFill>
    </x:fill>
    <x:fill>
      <x:patternFill patternType="solid">
        <x:fgColor rgb="FFF3BF"/>
      </x:patternFill>
    </x:fill>
    <x:fill>
      <x:patternFill patternType="solid">
        <x:fgColor rgb="E8F5F2"/>
      </x:patternFill>
    </x:fill>
    <x:fill>
      <x:patternFill patternType="solid">
        <x:fgColor rgb="1F7A7A"/>
      </x:patternFill>
    </x:fill>
    <x:fill>
      <x:patternFill patternType="solid">
        <x:fgColor rgb="2F5D8C"/>
      </x:patternFill>
    </x:fill>
  </x:fills>
  <x:borders count="1">
    <x:border/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2" fillId="6" borderId="0" xfId="0" applyNumberFormat="1" applyFont="1" applyFill="1" applyBorder="1" applyAlignment="1">
      <x:alignment vertical="center"/>
    </x:xf>
    <x:xf numFmtId="0" fontId="2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200" fontId="2" fillId="6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vertical="center"/>
    </x:xf>
    <x:xf numFmtId="201" fontId="2" fillId="3" borderId="0" xfId="0" applyNumberFormat="1" applyFont="1" applyFill="1" applyBorder="1" applyAlignment="1">
      <x:alignment vertical="center"/>
    </x:xf>
    <x:xf numFmtId="201" fontId="2" fillId="6" borderId="0" xfId="0" applyNumberFormat="1" applyFont="1" applyFill="1" applyBorder="1" applyAlignment="1">
      <x:alignment vertical="center"/>
    </x:xf>
    <x:xf numFmtId="202" fontId="2" fillId="3" borderId="0" xfId="0" applyNumberFormat="1" applyFont="1" applyFill="1" applyBorder="1" applyAlignment="1">
      <x:alignment vertical="center"/>
    </x:xf>
    <x:xf numFmtId="203" fontId="2" fillId="3" borderId="0" xfId="0" applyNumberFormat="1" applyFont="1" applyFill="1" applyBorder="1" applyAlignment="1">
      <x:alignment vertical="center"/>
    </x:xf>
    <x:xf numFmtId="200" fontId="2" fillId="3" borderId="0" xfId="0" applyNumberFormat="1" applyFont="1" applyFill="1" applyBorder="1" applyAlignment="1">
      <x:alignment vertical="center"/>
    </x:xf>
    <x:xf numFmtId="204" fontId="2" fillId="3" borderId="0" xfId="0" applyNumberFormat="1" applyFont="1" applyFill="1" applyBorder="1" applyAlignment="1">
      <x:alignment vertical="center"/>
    </x:xf>
    <x:xf numFmtId="205" fontId="2" fillId="3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horizontal="left"/>
    </x:xf>
    <x:xf numFmtId="0" fontId="5" fillId="8" borderId="0" xfId="0" applyNumberFormat="1" applyFont="1" applyFill="1" applyBorder="1" applyAlignment="1">
      <x:alignment horizontal="left" vertical="center"/>
    </x:xf>
    <x:xf numFmtId="204" fontId="2" fillId="6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horizontal="left"/>
    </x:xf>
    <x:xf numFmtId="0" fontId="5" fillId="9" borderId="0" xfId="0" applyNumberFormat="1" applyFont="1" applyFill="1" applyBorder="1" applyAlignment="1">
      <x:alignment horizontal="left" vertical="center"/>
    </x:xf>
    <x:xf numFmtId="0" fontId="6" fillId="4" borderId="0" xfId="0" applyNumberFormat="1" applyFont="1" applyFill="1" applyBorder="1" applyAlignment="1">
      <x:alignment horizontal="center" vertical="center"/>
    </x:xf>
    <x:xf numFmtId="0" fontId="7" fillId="5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6" fillId="9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7" fillId="3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 applyAlignment="1">
      <x:alignment vertical="center"/>
    </x:xf>
    <x:xf numFmtId="205" fontId="7" fillId="3" borderId="0" xfId="0" applyNumberFormat="1" applyFont="1" applyFill="1" applyBorder="1" applyAlignment="1">
      <x:alignment vertical="center"/>
    </x:xf>
    <x:xf numFmtId="201" fontId="7" fillId="3" borderId="0" xfId="0" applyNumberFormat="1" applyFont="1" applyFill="1" applyBorder="1" applyAlignment="1">
      <x:alignment vertical="center"/>
    </x:xf>
    <x:xf numFmtId="204" fontId="7" fillId="3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 applyAlignment="1">
      <x:alignment vertical="center"/>
    </x:xf>
    <x:xf numFmtId="200" fontId="7" fillId="6" borderId="0" xfId="0" applyNumberFormat="1" applyFont="1" applyFill="1" applyBorder="1" applyAlignment="1">
      <x:alignment vertical="center"/>
    </x:xf>
    <x:xf numFmtId="0" fontId="6" fillId="7" borderId="0" xfId="0" applyNumberFormat="1" applyFont="1" applyFill="1" applyBorder="1" applyAlignment="1">
      <x:alignment vertical="center"/>
    </x:xf>
    <x:xf numFmtId="200" fontId="6" fillId="7" borderId="0" xfId="0" applyNumberFormat="1" applyFont="1" applyFill="1" applyBorder="1" applyAlignment="1">
      <x:alignment vertical="center"/>
    </x:xf>
    <x:xf numFmtId="201" fontId="7" fillId="6" borderId="0" xfId="0" applyNumberFormat="1" applyFont="1" applyFill="1" applyBorder="1" applyAlignment="1">
      <x:alignment vertical="center"/>
    </x:xf>
    <x:xf numFmtId="202" fontId="7" fillId="3" borderId="0" xfId="0" applyNumberFormat="1" applyFont="1" applyFill="1" applyBorder="1" applyAlignment="1">
      <x:alignment vertical="center"/>
    </x:xf>
    <x:xf numFmtId="203" fontId="7" fillId="3" borderId="0" xfId="0" applyNumberFormat="1" applyFont="1" applyFill="1" applyBorder="1" applyAlignment="1">
      <x:alignment vertical="center"/>
    </x:xf>
    <x:xf numFmtId="200" fontId="7" fillId="3" borderId="0" xfId="0" applyNumberFormat="1" applyFont="1" applyFill="1" applyBorder="1" applyAlignment="1">
      <x:alignment vertical="center"/>
    </x:xf>
    <x:xf numFmtId="204" fontId="7" fillId="6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9">
    <x:dxf>
      <x:font>
        <x:b/>
        <x:color rgb="1F2933"/>
      </x:font>
      <x:fill>
        <x:patternFill patternType="solid">
          <x:bgColor rgb="FFF1CC"/>
        </x:patternFill>
      </x:fill>
    </x:dxf>
    <x:dxf>
      <x:font>
        <x:b/>
        <x:color rgb="1F2933"/>
      </x:font>
      <x:fill>
        <x:patternFill patternType="solid">
          <x:bgColor rgb="DFF4E7"/>
        </x:patternFill>
      </x:fill>
    </x:dxf>
    <x:dxf>
      <x:font>
        <x:b/>
        <x:color rgb="1F2933"/>
      </x:font>
      <x:fill>
        <x:patternFill patternType="solid">
          <x:bgColor rgb="FFF1CC"/>
        </x:patternFill>
      </x:fill>
    </x:dxf>
    <x:dxf>
      <x:font>
        <x:b/>
        <x:color rgb="1F2933"/>
      </x:font>
      <x:fill>
        <x:patternFill patternType="solid">
          <x:bgColor rgb="FBE0E0"/>
        </x:patternFill>
      </x:fill>
    </x:dxf>
    <x:dxf>
      <x:font>
        <x:b/>
        <x:color rgb="1F2933"/>
      </x:font>
      <x:fill>
        <x:patternFill patternType="solid">
          <x:bgColor rgb="FBE0E0"/>
        </x:patternFill>
      </x:fill>
    </x:dxf>
    <x:dxf>
      <x:font>
        <x:b/>
        <x:color rgb="1F2933"/>
      </x:font>
      <x:fill>
        <x:patternFill patternType="solid">
          <x:bgColor rgb="DFF4E7"/>
        </x:patternFill>
      </x:fill>
    </x:dxf>
    <x:dxf>
      <x:font>
        <x:b/>
        <x:color rgb="1F2933"/>
      </x:font>
      <x:fill>
        <x:patternFill patternType="solid">
          <x:bgColor rgb="FFF1CC"/>
        </x:patternFill>
      </x:fill>
    </x:dxf>
    <x:dxf>
      <x:font>
        <x:b/>
        <x:color rgb="1F2933"/>
      </x:font>
      <x:fill>
        <x:patternFill patternType="solid">
          <x:bgColor rgb="FBE0E0"/>
        </x:patternFill>
      </x:fill>
    </x:dxf>
    <x:dxf>
      <x:font>
        <x:b/>
        <x:color rgb="1F2933"/>
      </x:font>
      <x:fill>
        <x:patternFill patternType="solid">
          <x:bgColor rgb="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9928e13e734f59" /><Relationship Type="http://schemas.openxmlformats.org/officeDocument/2006/relationships/theme" Target="/xl/theme/theme1.xml" Id="Rb9b0113aa77c4659" /><Relationship Type="http://schemas.openxmlformats.org/officeDocument/2006/relationships/sharedStrings" Target="/xl/sharedStrings.xml" Id="Ra4252a13e87044b1" /><Relationship Type="http://schemas.openxmlformats.org/officeDocument/2006/relationships/worksheet" Target="/xl/worksheets/sheet1.xml" Id="Rf2c9ab81a49240ac" /><Relationship Type="http://schemas.openxmlformats.org/officeDocument/2006/relationships/worksheet" Target="/xl/worksheets/sheet2.xml" Id="R4087e362afa34bca" /><Relationship Type="http://schemas.openxmlformats.org/officeDocument/2006/relationships/worksheet" Target="/xl/worksheets/sheet3.xml" Id="R19fd182ce215459f" /><Relationship Type="http://schemas.openxmlformats.org/officeDocument/2006/relationships/worksheet" Target="/xl/worksheets/sheet4.xml" Id="R11f43445f8c54473" /><Relationship Type="http://schemas.openxmlformats.org/officeDocument/2006/relationships/worksheet" Target="/xl/worksheets/sheet5.xml" Id="R46153447945f4bda" /><Relationship Type="http://schemas.openxmlformats.org/officeDocument/2006/relationships/worksheet" Target="/xl/worksheets/sheet6.xml" Id="R1f8b356828874f12" /><Relationship Type="http://schemas.openxmlformats.org/officeDocument/2006/relationships/worksheet" Target="/xl/worksheets/sheet7.xml" Id="R5d9572d7318641bc" /><Relationship Type="http://schemas.openxmlformats.org/officeDocument/2006/relationships/worksheet" Target="/xl/worksheets/sheet8.xml" Id="Re6edf365e858453a" /><Relationship Type="http://schemas.openxmlformats.org/officeDocument/2006/relationships/worksheet" Target="/xl/worksheets/sheet9.xml" Id="R0e7ecd2768ee4ca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5e98681be6643f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8ed33e30f3a54aee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d2857879048548b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몬스터 위험도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Risk Score</c:v>
          </c:tx>
          <c:cat>
            <c:strRef>
              <c:f>'Dashboard'!$A$17:$A$28</c:f>
              <c:strCache>
                <c:ptCount val="0"/>
              </c:strCache>
            </c:strRef>
          </c:cat>
          <c:val>
            <c:numRef>
              <c:f>'Dashboard'!$B$17:$B$28</c:f>
              <c:numCache>
                <c:formatCode>0.0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타일 코스트 곡선</a:t>
            </a:r>
          </a:p>
        </c:rich>
      </c:tx>
      <c:overlay val="0"/>
    </c:title>
    <c:autoTitleDeleted val="0"/>
    <c:plotArea>
      <c:layout/>
      <c:lineChart>
        <c:ser>
          <c:idx val="0"/>
          <c:order val="0"/>
          <c:tx>
            <c:v>Current Cost</c:v>
          </c:tx>
          <c:cat>
            <c:strRef>
              <c:f>'TileCost'!$B$5:$B$15</c:f>
              <c:strCache>
                <c:ptCount val="0"/>
              </c:strCache>
            </c:strRef>
          </c:cat>
          <c:val>
            <c:numRef>
              <c:f>'TileCost'!$C$5:$C$15</c:f>
              <c:numCache>
                <c:formatCode>0</c:formatCode>
                <c:ptCount val="0"/>
              </c:numCache>
            </c:numRef>
          </c:val>
          <c:smooth val="0"/>
        </c:ser>
        <c:ser>
          <c:idx val="1"/>
          <c:order val="1"/>
          <c:tx>
            <c:v>Target Cost</c:v>
          </c:tx>
          <c:cat>
            <c:strRef>
              <c:f>'TileCost'!$B$5:$B$15</c:f>
              <c:strCache>
                <c:ptCount val="0"/>
              </c:strCache>
            </c:strRef>
          </c:cat>
          <c:val>
            <c:numRef>
              <c:f>'TileCost'!$D$5:$D$15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점수 시나리오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Difficulty</c:v>
          </c:tx>
          <c:cat>
            <c:strRef>
              <c:f>'RewardsScore'!$A$10:$A$13</c:f>
              <c:strCache>
                <c:ptCount val="0"/>
              </c:strCache>
            </c:strRef>
          </c:cat>
          <c:val>
            <c:numRef>
              <c:f>'RewardsScore'!$B$10:$B$13</c:f>
              <c:numCache>
                <c:formatCode>0</c:formatCode>
                <c:ptCount val="0"/>
              </c:numCache>
            </c:numRef>
          </c:val>
        </c:ser>
        <c:ser>
          <c:idx val="1"/>
          <c:order val="1"/>
          <c:tx>
            <c:v>Remaining Moves</c:v>
          </c:tx>
          <c:cat>
            <c:strRef>
              <c:f>'RewardsScore'!$A$10:$A$13</c:f>
              <c:strCache>
                <c:ptCount val="0"/>
              </c:strCache>
            </c:strRef>
          </c:cat>
          <c:val>
            <c:numRef>
              <c:f>'RewardsScore'!$C$10:$C$13</c:f>
              <c:numCache>
                <c:formatCode>0</c:formatCode>
                <c:ptCount val="0"/>
              </c:numCache>
            </c:numRef>
          </c:val>
        </c:ser>
        <c:ser>
          <c:idx val="2"/>
          <c:order val="2"/>
          <c:tx>
            <c:v>OverCost</c:v>
          </c:tx>
          <c:cat>
            <c:strRef>
              <c:f>'RewardsScore'!$A$10:$A$13</c:f>
              <c:strCache>
                <c:ptCount val="0"/>
              </c:strCache>
            </c:strRef>
          </c:cat>
          <c:val>
            <c:numRef>
              <c:f>'RewardsScore'!$D$10:$D$13</c:f>
              <c:numCache>
                <c:formatCode>0</c:formatCode>
                <c:ptCount val="0"/>
              </c:numCache>
            </c:numRef>
          </c:val>
        </c:ser>
        <c:ser>
          <c:idx val="3"/>
          <c:order val="3"/>
          <c:tx>
            <c:v>Turn Count</c:v>
          </c:tx>
          <c:cat>
            <c:strRef>
              <c:f>'RewardsScore'!$A$10:$A$13</c:f>
              <c:strCache>
                <c:ptCount val="0"/>
              </c:strCache>
            </c:strRef>
          </c:cat>
          <c:val>
            <c:numRef>
              <c:f>'RewardsScore'!$E$10:$E$13</c:f>
              <c:numCache>
                <c:formatCode>0</c:formatCode>
                <c:ptCount val="0"/>
              </c:numCache>
            </c:numRef>
          </c:val>
        </c:ser>
        <c:ser>
          <c:idx val="4"/>
          <c:order val="4"/>
          <c:tx>
            <c:v>Score</c:v>
          </c:tx>
          <c:cat>
            <c:strRef>
              <c:f>'RewardsScore'!$A$10:$A$13</c:f>
              <c:strCache>
                <c:ptCount val="0"/>
              </c:strCache>
            </c:strRef>
          </c:cat>
          <c:val>
            <c:numRef>
              <c:f>'RewardsScore'!$F$10:$F$13</c:f>
              <c:numCache>
                <c:formatCode>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14</xdr:row>
      <xdr:rowOff>0</xdr:rowOff>
    </xdr:from>
    <xdr:to>
      <xdr:col>11</xdr:col>
      <xdr:colOff>0</xdr:colOff>
      <xdr:row>32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e98681be6643f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8</xdr:col>
      <xdr:colOff>0</xdr:colOff>
      <xdr:row>3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d33e30f3a54aee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>
  <xdr:twoCellAnchor>
    <xdr:from>
      <xdr:col>7</xdr:col>
      <xdr:colOff>0</xdr:colOff>
      <xdr:row>7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2857879048548b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ileCostTable" displayName="TileCostTable" ref="A4:G15" headerRowCount="1">
  <x:autoFilter ref="A4:G15"/>
  <x:tableColumns count="7">
    <x:tableColumn id="1" name="Tier"/>
    <x:tableColumn id="2" name="Tile"/>
    <x:tableColumn id="3" name="Current Cost"/>
    <x:tableColumn id="4" name="Target Cost"/>
    <x:tableColumn id="5" name="Cost / Tile"/>
    <x:tableColumn id="6" name="Target Delta"/>
    <x:tableColumn id="7" name="메모"/>
  </x:tableColumns>
  <x:tableStyleInfo name="TableStyleMedium2" showRowStripes="1"/>
</x:table>
</file>

<file path=xl/tables/table2.xml><?xml version="1.0" encoding="utf-8"?>
<x:table xmlns:x="http://schemas.openxmlformats.org/spreadsheetml/2006/main" id="2" name="SkillBalanceTable" displayName="SkillBalanceTable" ref="A4:N10" headerRowCount="1">
  <x:autoFilter ref="A4:N10"/>
  <x:tableColumns count="14">
    <x:tableColumn id="1" name="Skill ID"/>
    <x:tableColumn id="2" name="Skill Name"/>
    <x:tableColumn id="3" name="Type"/>
    <x:tableColumn id="4" name="Cost"/>
    <x:tableColumn id="5" name="Power"/>
    <x:tableColumn id="6" name="Target Atk Mod"/>
    <x:tableColumn id="7" name="Self Def Bonus"/>
    <x:tableColumn id="8" name="Eff Damage"/>
    <x:tableColumn id="9" name="Base Block"/>
    <x:tableColumn id="10" name="Fear Block"/>
    <x:tableColumn id="11" name="Damage / Cost"/>
    <x:tableColumn id="12" name="Block / Cost"/>
    <x:tableColumn id="13" name="Priority"/>
    <x:tableColumn id="14" name="Description"/>
  </x:tableColumns>
  <x:tableStyleInfo name="TableStyleMedium2" showRowStripes="1"/>
</x:table>
</file>

<file path=xl/tables/table3.xml><?xml version="1.0" encoding="utf-8"?>
<x:table xmlns:x="http://schemas.openxmlformats.org/spreadsheetml/2006/main" id="3" name="EnemyRosterTable" displayName="EnemyRosterTable" ref="A4:X16" headerRowCount="1">
  <x:autoFilter ref="A4:X16"/>
  <x:tableColumns count="24">
    <x:tableColumn id="1" name="Enemy"/>
    <x:tableColumn id="2" name="Strength"/>
    <x:tableColumn id="3" name="AI Bias"/>
    <x:tableColumn id="4" name="Debuff Pattern"/>
    <x:tableColumn id="5" name="Max HP"/>
    <x:tableColumn id="6" name="Attack"/>
    <x:tableColumn id="7" name="Defense"/>
    <x:tableColumn id="8" name="Debuff Power"/>
    <x:tableColumn id="9" name="Difficulty"/>
    <x:tableColumn id="10" name="Actions / Turn"/>
    <x:tableColumn id="11" name="Debuff Interval"/>
    <x:tableColumn id="12" name="Debuff Share"/>
    <x:tableColumn id="13" name="Attack Chance"/>
    <x:tableColumn id="14" name="Defense Chance"/>
    <x:tableColumn id="15" name="Strength Mult"/>
    <x:tableColumn id="16" name="Eff Attack"/>
    <x:tableColumn id="17" name="Eff Defense"/>
    <x:tableColumn id="18" name="Eff Debuff"/>
    <x:tableColumn id="19" name="Exp Atk / Turn"/>
    <x:tableColumn id="20" name="Exp Def / Turn"/>
    <x:tableColumn id="21" name="Darkness Pressure"/>
    <x:tableColumn id="22" name="TTK Best Hit"/>
    <x:tableColumn id="23" name="Risk Score"/>
    <x:tableColumn id="24" name="메모"/>
  </x:tableColumns>
  <x:tableStyleInfo name="TableStyleMedium2" showRowStripes="1"/>
</x:table>
</file>

<file path=xl/tables/table4.xml><?xml version="1.0" encoding="utf-8"?>
<x:table xmlns:x="http://schemas.openxmlformats.org/spreadsheetml/2006/main" id="4" name="CombatScenarioTable" displayName="CombatScenarioTable" ref="A4:Q24" headerRowCount="1">
  <x:autoFilter ref="A4:Q24"/>
  <x:tableColumns count="17">
    <x:tableColumn id="1" name="Stage"/>
    <x:tableColumn id="2" name="Enemy"/>
    <x:tableColumn id="3" name="Planned Turns"/>
    <x:tableColumn id="4" name="Remaining Moves"/>
    <x:tableColumn id="5" name="OverCost"/>
    <x:tableColumn id="6" name="Main Attack Skill"/>
    <x:tableColumn id="7" name="Main Defense Skill"/>
    <x:tableColumn id="8" name="Enemy HP"/>
    <x:tableColumn id="9" name="Attack Damage"/>
    <x:tableColumn id="10" name="Hits Needed"/>
    <x:tableColumn id="11" name="Enemy Exp Atk"/>
    <x:tableColumn id="12" name="Block / Turn"/>
    <x:tableColumn id="13" name="Expected Net Damage"/>
    <x:tableColumn id="14" name="HP Risk"/>
    <x:tableColumn id="15" name="Score"/>
    <x:tableColumn id="16" name="Status"/>
    <x:tableColumn id="17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RewardTable" displayName="RewardTable" ref="A4:G5" headerRowCount="1">
  <x:autoFilter ref="A4:G5"/>
  <x:tableColumns count="7">
    <x:tableColumn id="1" name="Reward ID"/>
    <x:tableColumn id="2" name="Display Name"/>
    <x:tableColumn id="3" name="Heal % Max HP"/>
    <x:tableColumn id="4" name="Extra Move"/>
    <x:tableColumn id="5" name="Rest Heal"/>
    <x:tableColumn id="6" name="Move After Enhance"/>
    <x:tableColumn id="7" name="Encounter Text"/>
  </x:tableColumns>
  <x:tableStyleInfo name="TableStyleMedium2" showRowStripes="1"/>
</x:table>
</file>

<file path=xl/tables/table6.xml><?xml version="1.0" encoding="utf-8"?>
<x:table xmlns:x="http://schemas.openxmlformats.org/spreadsheetml/2006/main" id="6" name="ScoreScenarioTable" displayName="ScoreScenarioTable" ref="A9:F13" headerRowCount="1">
  <x:autoFilter ref="A9:F13"/>
  <x:tableColumns count="6">
    <x:tableColumn id="1" name="Scenario"/>
    <x:tableColumn id="2" name="Difficulty"/>
    <x:tableColumn id="3" name="Remaining Moves"/>
    <x:tableColumn id="4" name="OverCost"/>
    <x:tableColumn id="5" name="Turn Count"/>
    <x:tableColumn id="6" name="Score"/>
  </x:tableColumns>
  <x:tableStyleInfo name="TableStyleMedium2" showRowStripes="1"/>
</x:table>
</file>

<file path=xl/tables/table7.xml><?xml version="1.0" encoding="utf-8"?>
<x:table xmlns:x="http://schemas.openxmlformats.org/spreadsheetml/2006/main" id="7" name="DevelopmentHandoffTable" displayName="DevelopmentHandoffTable" ref="A4:F11" headerRowCount="1">
  <x:autoFilter ref="A4:F11"/>
  <x:tableColumns count="6">
    <x:tableColumn id="1" name="튜닝 항목"/>
    <x:tableColumn id="2" name="참조 시트"/>
    <x:tableColumn id="3" name="요청 값/범위"/>
    <x:tableColumn id="4" name="기획 의도"/>
    <x:tableColumn id="5" name="우선순위"/>
    <x:tableColumn id="6" name="개발 확인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f02a5e854c94e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8296b12cf8d3452e" /><Relationship Type="http://schemas.openxmlformats.org/officeDocument/2006/relationships/table" Target="/xl/tables/table1.xml" Id="R1935f6a98e9643b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898c5e29ef6e4f7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3a979708e00f4bb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356cf3bde1c41d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3.xml" Id="R050b58a3c4174d64" /><Relationship Type="http://schemas.openxmlformats.org/officeDocument/2006/relationships/table" Target="/xl/tables/table5.xml" Id="R99eba79cbbd9466c" /><Relationship Type="http://schemas.openxmlformats.org/officeDocument/2006/relationships/table" Target="/xl/tables/table6.xml" Id="Rfc045e458ef14e35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4e05dc5a67ad439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.84000015258789" hidden="0" customWidth="1"/>
    <x:col min="2" max="2" width="15.479999542236328" hidden="0" customWidth="1"/>
    <x:col min="3" max="3" width="4.039999961853027" hidden="0" customWidth="1"/>
    <x:col min="4" max="4" width="18.84000015258789" hidden="0" customWidth="1"/>
    <x:col min="5" max="5" width="15.479999542236328" hidden="0" customWidth="1"/>
    <x:col min="6" max="6" width="4.039999961853027" hidden="0" customWidth="1"/>
    <x:col min="7" max="7" width="18.84000015258789" hidden="0" customWidth="1"/>
    <x:col min="8" max="8" width="15.479999542236328" hidden="0" customWidth="1"/>
    <x:col min="9" max="9" width="4.039999961853027" hidden="0" customWidth="1"/>
    <x:col min="10" max="10" width="18.170000076293945" hidden="0" customWidth="1"/>
    <x:col min="11" max="11" width="15.479999542236328" hidden="0" customWidth="1"/>
  </x:cols>
  <x:sheetData>
    <x:row r="1" ht="25.5" customHeight="1">
      <x:c r="A1" s="61" t="str">
        <x:v>Project 2048 밸런싱 대시보드</x:v>
      </x:c>
      <x:c r="B1" s="61" t="str">
        <x:v>Project 2048 밸런싱 대시보드</x:v>
      </x:c>
      <x:c r="C1" s="61" t="str">
        <x:v>Project 2048 밸런싱 대시보드</x:v>
      </x:c>
      <x:c r="D1" s="61" t="str">
        <x:v>Project 2048 밸런싱 대시보드</x:v>
      </x:c>
      <x:c r="E1" s="61" t="str">
        <x:v>Project 2048 밸런싱 대시보드</x:v>
      </x:c>
      <x:c r="F1" s="61" t="str">
        <x:v>Project 2048 밸런싱 대시보드</x:v>
      </x:c>
      <x:c r="G1" s="61" t="str">
        <x:v>Project 2048 밸런싱 대시보드</x:v>
      </x:c>
      <x:c r="H1" s="61" t="str">
        <x:v>Project 2048 밸런싱 대시보드</x:v>
      </x:c>
      <x:c r="I1" s="61" t="str">
        <x:v>Project 2048 밸런싱 대시보드</x:v>
      </x:c>
      <x:c r="J1" s="61" t="str">
        <x:v>Project 2048 밸런싱 대시보드</x:v>
      </x:c>
      <x:c r="K1" s="61" t="str">
        <x:v>Project 2048 밸런싱 대시보드</x:v>
      </x:c>
    </x:row>
    <x:row r="2" ht="19.5" customHeight="1">
      <x:c r="A2" s="41" t="str">
        <x:v>전투/스킬/적/보상 핵심 지표를 한 화면에서 확인합니다.</x:v>
      </x:c>
      <x:c r="B2" s="41" t="str">
        <x:v>전투/스킬/적/보상 핵심 지표를 한 화면에서 확인합니다.</x:v>
      </x:c>
      <x:c r="C2" s="41" t="str">
        <x:v>전투/스킬/적/보상 핵심 지표를 한 화면에서 확인합니다.</x:v>
      </x:c>
      <x:c r="D2" s="41" t="str">
        <x:v>전투/스킬/적/보상 핵심 지표를 한 화면에서 확인합니다.</x:v>
      </x:c>
      <x:c r="E2" s="41" t="str">
        <x:v>전투/스킬/적/보상 핵심 지표를 한 화면에서 확인합니다.</x:v>
      </x:c>
      <x:c r="F2" s="41" t="str">
        <x:v>전투/스킬/적/보상 핵심 지표를 한 화면에서 확인합니다.</x:v>
      </x:c>
      <x:c r="G2" s="41" t="str">
        <x:v>전투/스킬/적/보상 핵심 지표를 한 화면에서 확인합니다.</x:v>
      </x:c>
      <x:c r="H2" s="41" t="str">
        <x:v>전투/스킬/적/보상 핵심 지표를 한 화면에서 확인합니다.</x:v>
      </x:c>
      <x:c r="I2" s="51"/>
      <x:c r="J2" s="51"/>
      <x:c r="K2" s="51"/>
    </x:row>
    <x:row r="3">
      <x:c r="A3" s="51"/>
      <x:c r="B3" s="51"/>
      <x:c r="C3" s="51"/>
      <x:c r="D3" s="51"/>
      <x:c r="E3" s="51"/>
      <x:c r="F3" s="51"/>
      <x:c r="G3" s="51"/>
      <x:c r="H3" s="51"/>
      <x:c r="I3" s="51"/>
      <x:c r="J3" s="51"/>
      <x:c r="K3" s="51"/>
    </x:row>
    <x:row r="4">
      <x:c r="A4" s="43" t="str">
        <x:v>활성 시나리오</x:v>
      </x:c>
      <x:c r="B4" s="43" t="str">
        <x:v>활성 시나리오</x:v>
      </x:c>
      <x:c r="C4" s="51"/>
      <x:c r="D4" s="44" t="str">
        <x:v>플레이어</x:v>
      </x:c>
      <x:c r="E4" s="44" t="str">
        <x:v>플레이어</x:v>
      </x:c>
      <x:c r="F4" s="51"/>
      <x:c r="G4" s="43" t="str">
        <x:v>로스터 요약</x:v>
      </x:c>
      <x:c r="H4" s="43" t="str">
        <x:v>로스터 요약</x:v>
      </x:c>
      <x:c r="I4" s="51"/>
      <x:c r="J4" s="51"/>
      <x:c r="K4" s="51"/>
    </x:row>
    <x:row r="5">
      <x:c r="A5" s="45" t="str">
        <x:v>Stage 선택</x:v>
      </x:c>
      <x:c r="B5" s="46" t="n">
        <x:v>1</x:v>
      </x:c>
      <x:c r="C5" s="51"/>
      <x:c r="D5" s="45" t="str">
        <x:v>Max HP</x:v>
      </x:c>
      <x:c r="E5" s="47" t="n">
        <x:f>Inputs!$B$4</x:f>
        <x:v>30</x:v>
      </x:c>
      <x:c r="F5" s="51"/>
      <x:c r="G5" s="45" t="str">
        <x:v>Enemy Count</x:v>
      </x:c>
      <x:c r="H5" s="47" t="n">
        <x:f>COUNTA(Enemies!$A$5:$A$16)</x:f>
        <x:v>12</x:v>
      </x:c>
      <x:c r="I5" s="51"/>
      <x:c r="J5" s="51"/>
      <x:c r="K5" s="51"/>
    </x:row>
    <x:row r="6">
      <x:c r="A6" s="45" t="str">
        <x:v>Enemy</x:v>
      </x:c>
      <x:c r="B6" s="45" t="str">
        <x:f>INDEX(CombatSim!$B$5:$B$24,MATCH($B$5,CombatSim!$A$5:$A$24,0))</x:f>
        <x:v>붉은 송곳니</x:v>
      </x:c>
      <x:c r="C6" s="51"/>
      <x:c r="D6" s="45" t="str">
        <x:v>Attack Power</x:v>
      </x:c>
      <x:c r="E6" s="47" t="n">
        <x:f>Inputs!$B$5</x:f>
        <x:v>2</x:v>
      </x:c>
      <x:c r="F6" s="51"/>
      <x:c r="G6" s="45" t="str">
        <x:v>Avg Risk Score</x:v>
      </x:c>
      <x:c r="H6" s="47" t="n">
        <x:f>AVERAGE(Enemies!$W$5:$W$16)</x:f>
        <x:v>22.933333333333334</x:v>
      </x:c>
      <x:c r="I6" s="51"/>
      <x:c r="J6" s="51"/>
      <x:c r="K6" s="51"/>
    </x:row>
    <x:row r="7">
      <x:c r="A7" s="45" t="str">
        <x:v>Status</x:v>
      </x:c>
      <x:c r="B7" s="45" t="str">
        <x:f>INDEX(CombatSim!$P$5:$P$24,MATCH($B$5,CombatSim!$A$5:$A$24,0))</x:f>
        <x:v>OK</x:v>
      </x:c>
      <x:c r="C7" s="51"/>
      <x:c r="D7" s="45" t="str">
        <x:v>Board Moves</x:v>
      </x:c>
      <x:c r="E7" s="47" t="n">
        <x:f>Inputs!$B$26</x:f>
        <x:v>4</x:v>
      </x:c>
      <x:c r="F7" s="51"/>
      <x:c r="G7" s="45" t="str">
        <x:v>Max Risk Score</x:v>
      </x:c>
      <x:c r="H7" s="47" t="n">
        <x:f>MAX(Enemies!$W$5:$W$16)</x:f>
        <x:v>35.1</x:v>
      </x:c>
      <x:c r="I7" s="51"/>
      <x:c r="J7" s="51"/>
      <x:c r="K7" s="51"/>
    </x:row>
    <x:row r="8">
      <x:c r="A8" s="45" t="str">
        <x:v>Score</x:v>
      </x:c>
      <x:c r="B8" s="48" t="n">
        <x:f>INDEX(CombatSim!$O$5:$O$24,MATCH($B$5,CombatSim!$A$5:$A$24,0))</x:f>
        <x:v>40</x:v>
      </x:c>
      <x:c r="C8" s="51"/>
      <x:c r="D8" s="45" t="str">
        <x:v>Expected Turn Cost</x:v>
      </x:c>
      <x:c r="E8" s="47" t="n">
        <x:f>Inputs!$B$27</x:f>
        <x:v>16</x:v>
      </x:c>
      <x:c r="F8" s="51"/>
      <x:c r="G8" s="45" t="str">
        <x:v>Avg TTK Best Hit</x:v>
      </x:c>
      <x:c r="H8" s="47" t="n">
        <x:f>AVERAGE(Enemies!$V$5:$V$16)</x:f>
        <x:v>4</x:v>
      </x:c>
      <x:c r="I8" s="51"/>
      <x:c r="J8" s="51"/>
      <x:c r="K8" s="51"/>
    </x:row>
    <x:row r="9">
      <x:c r="A9" s="45" t="str">
        <x:v>HP Risk</x:v>
      </x:c>
      <x:c r="B9" s="49" t="n">
        <x:f>INDEX(CombatSim!$N$5:$N$24,MATCH($B$5,CombatSim!$A$5:$A$24,0))</x:f>
        <x:v>0</x:v>
      </x:c>
      <x:c r="C9" s="51"/>
      <x:c r="D9" s="45" t="str">
        <x:v>Best Attack Skill</x:v>
      </x:c>
      <x:c r="E9" s="45" t="str">
        <x:f>INDEX(Skills!$B$5:$B$10,MATCH(MAX(Skills!$H$5:$H$10),Skills!$H$5:$H$10,0))</x:f>
        <x:v>3단계 공격</x:v>
      </x:c>
      <x:c r="F9" s="51"/>
      <x:c r="G9" s="45" t="str">
        <x:v>Enhanced Count</x:v>
      </x:c>
      <x:c r="H9" s="47" t="n">
        <x:f>COUNTIF(Enemies!$B$5:$B$16,"Enhanced")</x:f>
        <x:v>4</x:v>
      </x:c>
      <x:c r="I9" s="51"/>
      <x:c r="J9" s="51"/>
      <x:c r="K9" s="51"/>
    </x:row>
    <x:row r="10">
      <x:c r="A10" s="45" t="str">
        <x:v>Planned Turns</x:v>
      </x:c>
      <x:c r="B10" s="47" t="n">
        <x:f>INDEX(CombatSim!$C$5:$C$24,MATCH($B$5,CombatSim!$A$5:$A$24,0))</x:f>
        <x:v>6</x:v>
      </x:c>
      <x:c r="C10" s="51"/>
      <x:c r="D10" s="45" t="str">
        <x:v>Best Attack Damage</x:v>
      </x:c>
      <x:c r="E10" s="47" t="n">
        <x:f>MAX(Skills!$H$5:$H$10)</x:f>
        <x:v>10</x:v>
      </x:c>
      <x:c r="F10" s="51"/>
      <x:c r="G10" s="45" t="str">
        <x:v>AttackHeavy Count</x:v>
      </x:c>
      <x:c r="H10" s="47" t="n">
        <x:f>COUNTIF(Enemies!$C$5:$C$16,"AttackHeavy")</x:f>
        <x:v>5</x:v>
      </x:c>
      <x:c r="I10" s="51"/>
      <x:c r="J10" s="51"/>
      <x:c r="K10" s="51"/>
    </x:row>
    <x:row r="11">
      <x:c r="A11" s="45" t="str">
        <x:v>Hits Needed</x:v>
      </x:c>
      <x:c r="B11" s="47" t="n">
        <x:f>INDEX(CombatSim!$J$5:$J$24,MATCH($B$5,CombatSim!$A$5:$A$24,0))</x:f>
        <x:v>6</x:v>
      </x:c>
      <x:c r="C11" s="51"/>
      <x:c r="D11" s="45" t="str">
        <x:v>Best Defense Skill</x:v>
      </x:c>
      <x:c r="E11" s="47" t="str">
        <x:f>INDEX(Skills!$B$5:$B$10,MATCH(MAX(Skills!$I$5:$I$10),Skills!$I$5:$I$10,0))</x:f>
        <x:v>3단계 방어</x:v>
      </x:c>
      <x:c r="F11" s="51"/>
      <x:c r="G11" s="45" t="str">
        <x:v>DefenseHeavy Count</x:v>
      </x:c>
      <x:c r="H11" s="47" t="n">
        <x:f>COUNTIF(Enemies!$C$5:$C$16,"DefenseHeavy")</x:f>
        <x:v>4</x:v>
      </x:c>
      <x:c r="I11" s="51"/>
      <x:c r="J11" s="51"/>
      <x:c r="K11" s="51"/>
    </x:row>
    <x:row r="12">
      <x:c r="A12" s="45" t="str">
        <x:v>Expected Net Damage</x:v>
      </x:c>
      <x:c r="B12" s="47" t="n">
        <x:f>INDEX(CombatSim!$M$5:$M$24,MATCH($B$5,CombatSim!$A$5:$A$24,0))</x:f>
        <x:v>0</x:v>
      </x:c>
      <x:c r="C12" s="51"/>
      <x:c r="D12" s="45" t="str">
        <x:v>Best Defense Block</x:v>
      </x:c>
      <x:c r="E12" s="47" t="n">
        <x:f>MAX(Skills!$I$5:$I$10)</x:f>
        <x:v>10</x:v>
      </x:c>
      <x:c r="F12" s="51"/>
      <x:c r="G12" s="45" t="str">
        <x:v>Balanced Count</x:v>
      </x:c>
      <x:c r="H12" s="47" t="n">
        <x:f>COUNTIF(Enemies!$C$5:$C$16,"Balanced")</x:f>
        <x:v>3</x:v>
      </x:c>
      <x:c r="I12" s="51"/>
      <x:c r="J12" s="51"/>
      <x:c r="K12" s="51"/>
    </x:row>
    <x:row r="13">
      <x:c r="A13" s="51"/>
      <x:c r="B13" s="51"/>
      <x:c r="C13" s="51"/>
      <x:c r="D13" s="51"/>
      <x:c r="E13" s="51"/>
      <x:c r="F13" s="51"/>
      <x:c r="G13" s="51"/>
      <x:c r="H13" s="51"/>
      <x:c r="I13" s="51"/>
      <x:c r="J13" s="51"/>
      <x:c r="K13" s="51"/>
    </x:row>
    <x:row r="14">
      <x:c r="A14" s="51"/>
      <x:c r="B14" s="51"/>
      <x:c r="C14" s="51"/>
      <x:c r="D14" s="51"/>
      <x:c r="E14" s="51"/>
      <x:c r="F14" s="51"/>
      <x:c r="G14" s="51"/>
      <x:c r="H14" s="51"/>
      <x:c r="I14" s="51"/>
      <x:c r="J14" s="51"/>
      <x:c r="K14" s="51"/>
    </x:row>
    <x:row r="15">
      <x:c r="A15" s="44" t="str">
        <x:v>차트 데이터</x:v>
      </x:c>
      <x:c r="B15" s="44" t="str">
        <x:v>차트 데이터</x:v>
      </x:c>
      <x:c r="C15" s="51"/>
      <x:c r="D15" s="51"/>
      <x:c r="E15" s="51"/>
      <x:c r="F15" s="51"/>
      <x:c r="G15" s="51"/>
      <x:c r="H15" s="51"/>
      <x:c r="I15" s="51"/>
      <x:c r="J15" s="51"/>
      <x:c r="K15" s="51"/>
    </x:row>
    <x:row r="16">
      <x:c r="A16" s="50" t="str">
        <x:v>Enemy</x:v>
      </x:c>
      <x:c r="B16" s="50" t="str">
        <x:v>Risk Score</x:v>
      </x:c>
      <x:c r="C16" s="51"/>
      <x:c r="D16" s="51"/>
      <x:c r="E16" s="51"/>
      <x:c r="F16" s="51"/>
      <x:c r="G16" s="51"/>
      <x:c r="H16" s="51"/>
      <x:c r="I16" s="51"/>
      <x:c r="J16" s="51"/>
      <x:c r="K16" s="51"/>
    </x:row>
    <x:row r="17">
      <x:c r="A17" s="45" t="str">
        <x:v>붉은 송곳니</x:v>
      </x:c>
      <x:c r="B17" s="47" t="n">
        <x:f>INDEX(Enemies!$W$5:$W$16,MATCH($A17,Enemies!$A$5:$A$16,0))</x:f>
        <x:v>19.6</x:v>
      </x:c>
      <x:c r="C17" s="51"/>
      <x:c r="D17" s="51"/>
      <x:c r="E17" s="51"/>
      <x:c r="F17" s="51"/>
      <x:c r="G17" s="51"/>
      <x:c r="H17" s="51"/>
      <x:c r="I17" s="51"/>
      <x:c r="J17" s="51"/>
      <x:c r="K17" s="51"/>
    </x:row>
    <x:row r="18">
      <x:c r="A18" s="45" t="str">
        <x:v>검은 송곳니</x:v>
      </x:c>
      <x:c r="B18" s="47" t="n">
        <x:f>INDEX(Enemies!$W$5:$W$16,MATCH($A18,Enemies!$A$5:$A$16,0))</x:f>
        <x:v>19.6</x:v>
      </x:c>
      <x:c r="C18" s="51"/>
      <x:c r="D18" s="51"/>
      <x:c r="E18" s="51"/>
      <x:c r="F18" s="51"/>
      <x:c r="G18" s="51"/>
      <x:c r="H18" s="51"/>
      <x:c r="I18" s="51"/>
      <x:c r="J18" s="51"/>
      <x:c r="K18" s="51"/>
    </x:row>
    <x:row r="19">
      <x:c r="A19" s="45" t="str">
        <x:v>공포 파수꾼</x:v>
      </x:c>
      <x:c r="B19" s="47" t="n">
        <x:f>INDEX(Enemies!$W$5:$W$16,MATCH($A19,Enemies!$A$5:$A$16,0))</x:f>
        <x:v>16.3</x:v>
      </x:c>
      <x:c r="C19" s="51"/>
      <x:c r="D19" s="51"/>
      <x:c r="E19" s="51"/>
      <x:c r="F19" s="51"/>
      <x:c r="G19" s="51"/>
      <x:c r="H19" s="51"/>
      <x:c r="I19" s="51"/>
      <x:c r="J19" s="51"/>
      <x:c r="K19" s="51"/>
    </x:row>
    <x:row r="20">
      <x:c r="A20" s="45" t="str">
        <x:v>암흑 파수꾼</x:v>
      </x:c>
      <x:c r="B20" s="47" t="n">
        <x:f>INDEX(Enemies!$W$5:$W$16,MATCH($A20,Enemies!$A$5:$A$16,0))</x:f>
        <x:v>16.3</x:v>
      </x:c>
      <x:c r="C20" s="51"/>
      <x:c r="D20" s="51"/>
      <x:c r="E20" s="51"/>
      <x:c r="F20" s="51"/>
      <x:c r="G20" s="51"/>
      <x:c r="H20" s="51"/>
      <x:c r="I20" s="51"/>
      <x:c r="J20" s="51"/>
      <x:c r="K20" s="51"/>
    </x:row>
    <x:row r="21">
      <x:c r="A21" s="45" t="str">
        <x:v>황혼 추적자</x:v>
      </x:c>
      <x:c r="B21" s="47" t="n">
        <x:f>INDEX(Enemies!$W$5:$W$16,MATCH($A21,Enemies!$A$5:$A$16,0))</x:f>
        <x:v>17.9</x:v>
      </x:c>
      <x:c r="C21" s="51"/>
      <x:c r="D21" s="51"/>
      <x:c r="E21" s="51"/>
      <x:c r="F21" s="51"/>
      <x:c r="G21" s="51"/>
      <x:c r="H21" s="51"/>
      <x:c r="I21" s="51"/>
      <x:c r="J21" s="51"/>
      <x:c r="K21" s="51"/>
    </x:row>
    <x:row r="22">
      <x:c r="A22" s="45" t="str">
        <x:v>그림자 추적자</x:v>
      </x:c>
      <x:c r="B22" s="47" t="n">
        <x:f>INDEX(Enemies!$W$5:$W$16,MATCH($A22,Enemies!$A$5:$A$16,0))</x:f>
        <x:v>17.9</x:v>
      </x:c>
      <x:c r="C22" s="51"/>
      <x:c r="D22" s="51"/>
      <x:c r="E22" s="51"/>
      <x:c r="F22" s="51"/>
      <x:c r="G22" s="51"/>
      <x:c r="H22" s="51"/>
      <x:c r="I22" s="51"/>
      <x:c r="J22" s="51"/>
      <x:c r="K22" s="51"/>
    </x:row>
    <x:row r="23">
      <x:c r="A23" s="45" t="str">
        <x:v>분노의 발톱</x:v>
      </x:c>
      <x:c r="B23" s="47" t="n">
        <x:f>INDEX(Enemies!$W$5:$W$16,MATCH($A23,Enemies!$A$5:$A$16,0))</x:f>
        <x:v>19.6</x:v>
      </x:c>
      <x:c r="C23" s="51"/>
      <x:c r="D23" s="51"/>
      <x:c r="E23" s="51"/>
      <x:c r="F23" s="51"/>
      <x:c r="G23" s="51"/>
      <x:c r="H23" s="51"/>
      <x:c r="I23" s="51"/>
      <x:c r="J23" s="51"/>
      <x:c r="K23" s="51"/>
    </x:row>
    <x:row r="24">
      <x:c r="A24" s="45" t="str">
        <x:v>칠흑 방패</x:v>
      </x:c>
      <x:c r="B24" s="47" t="n">
        <x:f>INDEX(Enemies!$W$5:$W$16,MATCH($A24,Enemies!$A$5:$A$16,0))</x:f>
        <x:v>16.3</x:v>
      </x:c>
      <x:c r="C24" s="51"/>
      <x:c r="D24" s="51"/>
      <x:c r="E24" s="51"/>
      <x:c r="F24" s="51"/>
      <x:c r="G24" s="51"/>
      <x:c r="H24" s="51"/>
      <x:c r="I24" s="51"/>
      <x:c r="J24" s="51"/>
      <x:c r="K24" s="51"/>
    </x:row>
    <x:row r="25">
      <x:c r="A25" s="45" t="str">
        <x:v>강화 붉은 송곳니</x:v>
      </x:c>
      <x:c r="B25" s="47" t="n">
        <x:f>INDEX(Enemies!$W$5:$W$16,MATCH($A25,Enemies!$A$5:$A$16,0))</x:f>
        <x:v>35.1</x:v>
      </x:c>
      <x:c r="C25" s="51"/>
      <x:c r="D25" s="51"/>
      <x:c r="E25" s="51"/>
      <x:c r="F25" s="51"/>
      <x:c r="G25" s="51"/>
      <x:c r="H25" s="51"/>
      <x:c r="I25" s="51"/>
      <x:c r="J25" s="51"/>
      <x:c r="K25" s="51"/>
    </x:row>
    <x:row r="26">
      <x:c r="A26" s="45" t="str">
        <x:v>강화 검은 송곳니</x:v>
      </x:c>
      <x:c r="B26" s="47" t="n">
        <x:f>INDEX(Enemies!$W$5:$W$16,MATCH($A26,Enemies!$A$5:$A$16,0))</x:f>
        <x:v>35.1</x:v>
      </x:c>
      <x:c r="C26" s="51"/>
      <x:c r="D26" s="51"/>
      <x:c r="E26" s="51"/>
      <x:c r="F26" s="51"/>
      <x:c r="G26" s="51"/>
      <x:c r="H26" s="51"/>
      <x:c r="I26" s="51"/>
      <x:c r="J26" s="51"/>
      <x:c r="K26" s="51"/>
    </x:row>
    <x:row r="27">
      <x:c r="A27" s="45" t="str">
        <x:v>강화 공포 파수꾼</x:v>
      </x:c>
      <x:c r="B27" s="47" t="n">
        <x:f>INDEX(Enemies!$W$5:$W$16,MATCH($A27,Enemies!$A$5:$A$16,0))</x:f>
        <x:v>29.3</x:v>
      </x:c>
      <x:c r="C27" s="51"/>
      <x:c r="D27" s="51"/>
      <x:c r="E27" s="51"/>
      <x:c r="F27" s="51"/>
      <x:c r="G27" s="51"/>
      <x:c r="H27" s="51"/>
      <x:c r="I27" s="51"/>
      <x:c r="J27" s="51"/>
      <x:c r="K27" s="51"/>
    </x:row>
    <x:row r="28">
      <x:c r="A28" s="45" t="str">
        <x:v>강화 그림자 추적자</x:v>
      </x:c>
      <x:c r="B28" s="47" t="n">
        <x:f>INDEX(Enemies!$W$5:$W$16,MATCH($A28,Enemies!$A$5:$A$16,0))</x:f>
        <x:v>32.2</x:v>
      </x:c>
      <x:c r="C28" s="51"/>
      <x:c r="D28" s="51"/>
      <x:c r="E28" s="51"/>
      <x:c r="F28" s="51"/>
      <x:c r="G28" s="51"/>
      <x:c r="H28" s="51"/>
      <x:c r="I28" s="51"/>
      <x:c r="J28" s="51"/>
      <x:c r="K28" s="51"/>
    </x:row>
  </x:sheetData>
  <x:mergeCells>
    <x:mergeCell ref="A1:K1"/>
    <x:mergeCell ref="A2:H2"/>
    <x:mergeCell ref="A4:B4"/>
    <x:mergeCell ref="D4:E4"/>
    <x:mergeCell ref="G4:H4"/>
    <x:mergeCell ref="A15:B15"/>
  </x:mergeCells>
  <x:conditionalFormatting sqref="B7:B7">
    <x:cfRule type="containsText" dxfId="5" priority="1" operator="containsText" text="OK"/>
    <x:cfRule type="containsText" dxfId="6" priority="2" operator="containsText" text="주의"/>
    <x:cfRule type="containsText" dxfId="7" priority="3" operator="containsText" text="위험"/>
    <x:cfRule type="containsText" dxfId="8" priority="4" operator="containsText" text="공격 부족"/>
  </x:conditionalFormatting>
  <x:dataValidations count="1">
    <x:dataValidation type="whole" operator="between" sqref="B5">
      <x:formula1>1</x:formula1>
      <x:formula2>20</x:formula2>
    </x:dataValidation>
  </x:dataValidations>
  <x:pageMargins left="0.7" right="0.7" top="0.75" bottom="0.75" header="0.3" footer="0.3"/>
  <x:drawing xmlns:r="http://schemas.openxmlformats.org/officeDocument/2006/relationships" r:id="Rdf02a5e854c94eaf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.280000686645508" hidden="0" customWidth="1"/>
    <x:col min="2" max="2" width="14.130000114440918" hidden="0" customWidth="1"/>
    <x:col min="3" max="3" width="11.4399995803833" hidden="0" customWidth="1"/>
    <x:col min="4" max="4" width="55.849998474121094" hidden="0" customWidth="1"/>
    <x:col min="5" max="5" width="15.479999542236328" hidden="0" customWidth="1"/>
    <x:col min="6" max="6" width="23.549999237060547" hidden="0" customWidth="1"/>
  </x:cols>
  <x:sheetData>
    <x:row r="1" ht="25.5" customHeight="1">
      <x:c r="A1" s="61" t="str">
        <x:v>Project 2048 밸런싱 기본값</x:v>
      </x:c>
      <x:c r="B1" s="61" t="str">
        <x:v>Project 2048 밸런싱 기본값</x:v>
      </x:c>
      <x:c r="C1" s="61" t="str">
        <x:v>Project 2048 밸런싱 기본값</x:v>
      </x:c>
      <x:c r="D1" s="61" t="str">
        <x:v>Project 2048 밸런싱 기본값</x:v>
      </x:c>
      <x:c r="E1" s="61" t="str">
        <x:v>Project 2048 밸런싱 기본값</x:v>
      </x:c>
      <x:c r="F1" s="61" t="str">
        <x:v>Project 2048 밸런싱 기본값</x:v>
      </x:c>
      <x:c r="G1" s="51"/>
      <x:c r="H1" s="51"/>
    </x:row>
    <x:row r="2" ht="19.5" customHeight="1">
      <x:c r="A2" s="41" t="str">
        <x:v>노란 셀은 기획자가 직접 바꾸는 입력값입니다. 다른 시트는 이 값을 참조해 자동 계산됩니다.</x:v>
      </x:c>
      <x:c r="B2" s="41" t="str">
        <x:v>노란 셀은 기획자가 직접 바꾸는 입력값입니다. 다른 시트는 이 값을 참조해 자동 계산됩니다.</x:v>
      </x:c>
      <x:c r="C2" s="41" t="str">
        <x:v>노란 셀은 기획자가 직접 바꾸는 입력값입니다. 다른 시트는 이 값을 참조해 자동 계산됩니다.</x:v>
      </x:c>
      <x:c r="D2" s="41" t="str">
        <x:v>노란 셀은 기획자가 직접 바꾸는 입력값입니다. 다른 시트는 이 값을 참조해 자동 계산됩니다.</x:v>
      </x:c>
      <x:c r="E2" s="41" t="str">
        <x:v>노란 셀은 기획자가 직접 바꾸는 입력값입니다. 다른 시트는 이 값을 참조해 자동 계산됩니다.</x:v>
      </x:c>
      <x:c r="F2" s="41" t="str">
        <x:v>노란 셀은 기획자가 직접 바꾸는 입력값입니다. 다른 시트는 이 값을 참조해 자동 계산됩니다.</x:v>
      </x:c>
      <x:c r="G2" s="41" t="str">
        <x:v>노란 셀은 기획자가 직접 바꾸는 입력값입니다. 다른 시트는 이 값을 참조해 자동 계산됩니다.</x:v>
      </x:c>
      <x:c r="H2" s="41" t="str">
        <x:v>노란 셀은 기획자가 직접 바꾸는 입력값입니다. 다른 시트는 이 값을 참조해 자동 계산됩니다.</x:v>
      </x:c>
    </x:row>
    <x:row r="3">
      <x:c r="A3" s="50" t="str">
        <x:v>항목</x:v>
      </x:c>
      <x:c r="B3" s="50" t="str">
        <x:v>값</x:v>
      </x:c>
      <x:c r="C3" s="50" t="str">
        <x:v>단위</x:v>
      </x:c>
      <x:c r="D3" s="50" t="str">
        <x:v>설명</x:v>
      </x:c>
      <x:c r="E3" s="51"/>
      <x:c r="F3" s="51"/>
      <x:c r="G3" s="51"/>
      <x:c r="H3" s="51"/>
    </x:row>
    <x:row r="4">
      <x:c r="A4" s="45" t="str">
        <x:v>Player Max HP</x:v>
      </x:c>
      <x:c r="B4" s="52" t="n">
        <x:v>30</x:v>
      </x:c>
      <x:c r="C4" s="45" t="str">
        <x:v>HP</x:v>
      </x:c>
      <x:c r="D4" s="45" t="str">
        <x:v>플레이어 기본 최대 체력</x:v>
      </x:c>
      <x:c r="E4" s="51"/>
      <x:c r="F4" s="51"/>
      <x:c r="G4" s="51"/>
      <x:c r="H4" s="51"/>
    </x:row>
    <x:row r="5">
      <x:c r="A5" s="45" t="str">
        <x:v>Player Attack Power</x:v>
      </x:c>
      <x:c r="B5" s="52" t="n">
        <x:v>2</x:v>
      </x:c>
      <x:c r="C5" s="45" t="str">
        <x:v>damage</x:v>
      </x:c>
      <x:c r="D5" s="45" t="str">
        <x:v>플레이어 기본 공격력</x:v>
      </x:c>
      <x:c r="E5" s="51"/>
      <x:c r="F5" s="51"/>
      <x:c r="G5" s="51"/>
      <x:c r="H5" s="51"/>
    </x:row>
    <x:row r="6">
      <x:c r="A6" s="45" t="str">
        <x:v>Initial Board Moves</x:v>
      </x:c>
      <x:c r="B6" s="52" t="n">
        <x:v>4</x:v>
      </x:c>
      <x:c r="C6" s="45" t="str">
        <x:v>moves</x:v>
      </x:c>
      <x:c r="D6" s="45" t="str">
        <x:v>한 전투 턴에 기본으로 주어지는 보드 이동 횟수</x:v>
      </x:c>
      <x:c r="E6" s="51"/>
      <x:c r="F6" s="51"/>
      <x:c r="G6" s="51"/>
      <x:c r="H6" s="51"/>
    </x:row>
    <x:row r="7">
      <x:c r="A7" s="45" t="str">
        <x:v>Board Move Bonus</x:v>
      </x:c>
      <x:c r="B7" s="52" t="n">
        <x:v>0</x:v>
      </x:c>
      <x:c r="C7" s="45" t="str">
        <x:v>moves</x:v>
      </x:c>
      <x:c r="D7" s="45" t="str">
        <x:v>보상 강화 등으로 누적되는 추가 보드 이동 횟수</x:v>
      </x:c>
      <x:c r="E7" s="51"/>
      <x:c r="F7" s="51"/>
      <x:c r="G7" s="51"/>
      <x:c r="H7" s="51"/>
    </x:row>
    <x:row r="8">
      <x:c r="A8" s="45" t="str">
        <x:v>Expected Cost per Move</x:v>
      </x:c>
      <x:c r="B8" s="52" t="n">
        <x:v>4</x:v>
      </x:c>
      <x:c r="C8" s="45" t="str">
        <x:v>cost</x:v>
      </x:c>
      <x:c r="D8" s="45" t="str">
        <x:v>전투 시뮬용 가정값. 실제 획득 코스트는 보드 결과에 따라 달라집니다.</x:v>
      </x:c>
      <x:c r="E8" s="51"/>
      <x:c r="F8" s="51"/>
      <x:c r="G8" s="51"/>
      <x:c r="H8" s="51"/>
    </x:row>
    <x:row r="9">
      <x:c r="A9" s="45" t="str">
        <x:v>Current Defense Bonus</x:v>
      </x:c>
      <x:c r="B9" s="52" t="n">
        <x:v>0</x:v>
      </x:c>
      <x:c r="C9" s="45" t="str">
        <x:v>block</x:v>
      </x:c>
      <x:c r="D9" s="45" t="str">
        <x:v>방어 스킬 누적 보너스 시뮬용</x:v>
      </x:c>
      <x:c r="E9" s="51"/>
      <x:c r="F9" s="51"/>
      <x:c r="G9" s="51"/>
      <x:c r="H9" s="51"/>
    </x:row>
    <x:row r="10">
      <x:c r="A10" s="45" t="str">
        <x:v>Fear Defense Penalty</x:v>
      </x:c>
      <x:c r="B10" s="52" t="n">
        <x:v>6</x:v>
      </x:c>
      <x:c r="C10" s="45" t="str">
        <x:v>block</x:v>
      </x:c>
      <x:c r="D10" s="45" t="str">
        <x:v>공포 상태에서 방어 획득량이 줄어드는 값</x:v>
      </x:c>
      <x:c r="E10" s="51"/>
      <x:c r="F10" s="51"/>
      <x:c r="G10" s="51"/>
      <x:c r="H10" s="51"/>
    </x:row>
    <x:row r="11">
      <x:c r="A11" s="45" t="str"/>
      <x:c r="B11" s="52" t="str"/>
      <x:c r="C11" s="45" t="str"/>
      <x:c r="D11" s="45" t="str"/>
      <x:c r="E11" s="51"/>
      <x:c r="F11" s="51"/>
      <x:c r="G11" s="51"/>
      <x:c r="H11" s="51"/>
    </x:row>
    <x:row r="12">
      <x:c r="A12" s="45" t="str">
        <x:v>Score Difficulty Multiplier</x:v>
      </x:c>
      <x:c r="B12" s="52" t="n">
        <x:v>100</x:v>
      </x:c>
      <x:c r="C12" s="45" t="str">
        <x:v>score</x:v>
      </x:c>
      <x:c r="D12" s="45" t="str">
        <x:v>적 난이도 점수에 곱하는 점수 계수</x:v>
      </x:c>
      <x:c r="E12" s="51"/>
      <x:c r="F12" s="51"/>
      <x:c r="G12" s="51"/>
      <x:c r="H12" s="51"/>
    </x:row>
    <x:row r="13">
      <x:c r="A13" s="45" t="str">
        <x:v>Score Remaining Move Multiplier</x:v>
      </x:c>
      <x:c r="B13" s="52" t="n">
        <x:v>20</x:v>
      </x:c>
      <x:c r="C13" s="45" t="str">
        <x:v>score</x:v>
      </x:c>
      <x:c r="D13" s="45" t="str">
        <x:v>남은 보드 이동 횟수에 곱하는 점수 계수</x:v>
      </x:c>
      <x:c r="E13" s="51"/>
      <x:c r="F13" s="51"/>
      <x:c r="G13" s="51"/>
      <x:c r="H13" s="51"/>
    </x:row>
    <x:row r="14">
      <x:c r="A14" s="45" t="str">
        <x:v>Score OverCost Multiplier</x:v>
      </x:c>
      <x:c r="B14" s="52" t="n">
        <x:v>5</x:v>
      </x:c>
      <x:c r="C14" s="45" t="str">
        <x:v>score</x:v>
      </x:c>
      <x:c r="D14" s="45" t="str">
        <x:v>남는 코스트에 곱하는 점수 계수</x:v>
      </x:c>
      <x:c r="E14" s="51"/>
      <x:c r="F14" s="51"/>
      <x:c r="G14" s="51"/>
      <x:c r="H14" s="51"/>
    </x:row>
    <x:row r="15">
      <x:c r="A15" s="45" t="str">
        <x:v>Score Turn Penalty</x:v>
      </x:c>
      <x:c r="B15" s="52" t="n">
        <x:v>10</x:v>
      </x:c>
      <x:c r="C15" s="45" t="str">
        <x:v>score</x:v>
      </x:c>
      <x:c r="D15" s="45" t="str">
        <x:v>전투 턴 수마다 차감하는 점수</x:v>
      </x:c>
      <x:c r="E15" s="51"/>
      <x:c r="F15" s="51"/>
      <x:c r="G15" s="51"/>
      <x:c r="H15" s="51"/>
    </x:row>
    <x:row r="16">
      <x:c r="A16" s="45" t="str">
        <x:v>Minimum Stage Score</x:v>
      </x:c>
      <x:c r="B16" s="52" t="n">
        <x:v>0</x:v>
      </x:c>
      <x:c r="C16" s="45" t="str">
        <x:v>score</x:v>
      </x:c>
      <x:c r="D16" s="45" t="str">
        <x:v>스테이지 점수 하한</x:v>
      </x:c>
      <x:c r="E16" s="51"/>
      <x:c r="F16" s="51"/>
      <x:c r="G16" s="51"/>
      <x:c r="H16" s="51"/>
    </x:row>
    <x:row r="17">
      <x:c r="A17" s="45" t="str"/>
      <x:c r="B17" s="52" t="str"/>
      <x:c r="C17" s="45" t="str"/>
      <x:c r="D17" s="45" t="str"/>
      <x:c r="E17" s="51"/>
      <x:c r="F17" s="51"/>
      <x:c r="G17" s="51"/>
      <x:c r="H17" s="51"/>
    </x:row>
    <x:row r="18">
      <x:c r="A18" s="45" t="str">
        <x:v>Enhanced Strength Multiplier</x:v>
      </x:c>
      <x:c r="B18" s="52" t="n">
        <x:v>1.5</x:v>
      </x:c>
      <x:c r="C18" s="45" t="str">
        <x:v>x</x:v>
      </x:c>
      <x:c r="D18" s="45" t="str">
        <x:v>강화 적의 공격/방어/디버프 수치 보정 배율</x:v>
      </x:c>
      <x:c r="E18" s="51"/>
      <x:c r="F18" s="51"/>
      <x:c r="G18" s="51"/>
      <x:c r="H18" s="51"/>
    </x:row>
    <x:row r="19">
      <x:c r="A19" s="45" t="str">
        <x:v>Balanced Attack Weight</x:v>
      </x:c>
      <x:c r="B19" s="52" t="n">
        <x:v>50</x:v>
      </x:c>
      <x:c r="C19" s="45" t="str">
        <x:v>weight</x:v>
      </x:c>
      <x:c r="D19" s="45" t="str">
        <x:v>밸런스형 적의 공격 선택 가중치</x:v>
      </x:c>
      <x:c r="E19" s="51"/>
      <x:c r="F19" s="51"/>
      <x:c r="G19" s="51"/>
      <x:c r="H19" s="51"/>
    </x:row>
    <x:row r="20">
      <x:c r="A20" s="45" t="str">
        <x:v>Balanced Defense Weight</x:v>
      </x:c>
      <x:c r="B20" s="52" t="n">
        <x:v>50</x:v>
      </x:c>
      <x:c r="C20" s="45" t="str">
        <x:v>weight</x:v>
      </x:c>
      <x:c r="D20" s="45" t="str">
        <x:v>밸런스형 적의 방어 선택 가중치</x:v>
      </x:c>
      <x:c r="E20" s="51"/>
      <x:c r="F20" s="51"/>
      <x:c r="G20" s="51"/>
      <x:c r="H20" s="51"/>
    </x:row>
    <x:row r="21">
      <x:c r="A21" s="45" t="str">
        <x:v>AttackHeavy Attack Weight</x:v>
      </x:c>
      <x:c r="B21" s="52" t="n">
        <x:v>80</x:v>
      </x:c>
      <x:c r="C21" s="45" t="str">
        <x:v>weight</x:v>
      </x:c>
      <x:c r="D21" s="45" t="str">
        <x:v>공격형 적의 공격 선택 가중치</x:v>
      </x:c>
      <x:c r="E21" s="51"/>
      <x:c r="F21" s="51"/>
      <x:c r="G21" s="51"/>
      <x:c r="H21" s="51"/>
    </x:row>
    <x:row r="22">
      <x:c r="A22" s="45" t="str">
        <x:v>AttackHeavy Defense Weight</x:v>
      </x:c>
      <x:c r="B22" s="52" t="n">
        <x:v>20</x:v>
      </x:c>
      <x:c r="C22" s="45" t="str">
        <x:v>weight</x:v>
      </x:c>
      <x:c r="D22" s="45" t="str">
        <x:v>공격형 적의 방어 선택 가중치</x:v>
      </x:c>
      <x:c r="E22" s="51"/>
      <x:c r="F22" s="51"/>
      <x:c r="G22" s="51"/>
      <x:c r="H22" s="51"/>
    </x:row>
    <x:row r="23">
      <x:c r="A23" s="45" t="str">
        <x:v>DefenseHeavy Attack Weight</x:v>
      </x:c>
      <x:c r="B23" s="52" t="n">
        <x:v>20</x:v>
      </x:c>
      <x:c r="C23" s="45" t="str">
        <x:v>weight</x:v>
      </x:c>
      <x:c r="D23" s="45" t="str">
        <x:v>방어형 적의 공격 선택 가중치</x:v>
      </x:c>
      <x:c r="E23" s="51"/>
      <x:c r="F23" s="51"/>
      <x:c r="G23" s="51"/>
      <x:c r="H23" s="51"/>
    </x:row>
    <x:row r="24">
      <x:c r="A24" s="45" t="str">
        <x:v>DefenseHeavy Defense Weight</x:v>
      </x:c>
      <x:c r="B24" s="52" t="n">
        <x:v>80</x:v>
      </x:c>
      <x:c r="C24" s="45" t="str">
        <x:v>weight</x:v>
      </x:c>
      <x:c r="D24" s="45" t="str">
        <x:v>방어형 적의 방어 선택 가중치</x:v>
      </x:c>
      <x:c r="E24" s="51"/>
      <x:c r="F24" s="51"/>
      <x:c r="G24" s="51"/>
      <x:c r="H24" s="51"/>
    </x:row>
    <x:row r="25">
      <x:c r="A25" s="45" t="str">
        <x:v>Default Debuff Interval</x:v>
      </x:c>
      <x:c r="B25" s="52" t="n">
        <x:v>3</x:v>
      </x:c>
      <x:c r="C25" s="45" t="str">
        <x:v>turns</x:v>
      </x:c>
      <x:c r="D25" s="45" t="str">
        <x:v>적이 디버프를 시도하는 기본 주기</x:v>
      </x:c>
      <x:c r="E25" s="51"/>
      <x:c r="F25" s="51"/>
      <x:c r="G25" s="51"/>
      <x:c r="H25" s="51"/>
    </x:row>
    <x:row r="26">
      <x:c r="A26" s="53" t="str">
        <x:v>Total Board Moves</x:v>
      </x:c>
      <x:c r="B26" s="54" t="n">
        <x:f>$B$6+$B$7</x:f>
        <x:v>4</x:v>
      </x:c>
      <x:c r="C26" s="53" t="str">
        <x:v>moves</x:v>
      </x:c>
      <x:c r="D26" s="53" t="str">
        <x:v>Initial Board Moves + Board Move Bonus</x:v>
      </x:c>
      <x:c r="E26" s="51"/>
      <x:c r="F26" s="51"/>
      <x:c r="G26" s="51"/>
      <x:c r="H26" s="51"/>
    </x:row>
    <x:row r="27">
      <x:c r="A27" s="53" t="str">
        <x:v>Expected Turn Cost</x:v>
      </x:c>
      <x:c r="B27" s="54" t="n">
        <x:f>$B$26*$B$8</x:f>
        <x:v>16</x:v>
      </x:c>
      <x:c r="C27" s="53" t="str">
        <x:v>cost</x:v>
      </x:c>
      <x:c r="D27" s="53" t="str">
        <x:v>Total Board Moves * Expected Cost per Move</x:v>
      </x:c>
      <x:c r="E27" s="51"/>
      <x:c r="F27" s="51"/>
      <x:c r="G27" s="51"/>
      <x:c r="H27" s="51"/>
    </x:row>
  </x:sheetData>
  <x:mergeCells>
    <x:mergeCell ref="A1:F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75" hidden="0" customWidth="1"/>
    <x:col min="2" max="2" width="11.4399995803833" hidden="0" customWidth="1"/>
    <x:col min="3" max="3" width="14.130000114440918" hidden="0" customWidth="1"/>
    <x:col min="4" max="4" width="14.130000114440918" hidden="0" customWidth="1"/>
    <x:col min="5" max="5" width="15.479999542236328" hidden="0" customWidth="1"/>
    <x:col min="6" max="6" width="15.479999542236328" hidden="0" customWidth="1"/>
    <x:col min="7" max="7" width="32.970001220703125" hidden="0" customWidth="1"/>
    <x:col min="8" max="8" width="2.0199999809265137" hidden="0" customWidth="1"/>
  </x:cols>
  <x:sheetData>
    <x:row r="1" ht="25.5" customHeight="1">
      <x:c r="A1" s="61" t="str">
        <x:v>타일 코스트 곡선</x:v>
      </x:c>
      <x:c r="B1" s="61" t="str">
        <x:v>타일 코스트 곡선</x:v>
      </x:c>
      <x:c r="C1" s="61" t="str">
        <x:v>타일 코스트 곡선</x:v>
      </x:c>
      <x:c r="D1" s="61" t="str">
        <x:v>타일 코스트 곡선</x:v>
      </x:c>
      <x:c r="E1" s="61" t="str">
        <x:v>타일 코스트 곡선</x:v>
      </x:c>
      <x:c r="F1" s="61" t="str">
        <x:v>타일 코스트 곡선</x:v>
      </x:c>
      <x:c r="G1" s="61" t="str">
        <x:v>타일 코스트 곡선</x:v>
      </x:c>
      <x:c r="H1" s="61" t="str">
        <x:v>타일 코스트 곡선</x:v>
      </x:c>
    </x:row>
    <x:row r="2" ht="19.5" customHeight="1">
      <x:c r="A2" s="41" t="str">
        <x:v>현재 코스트와 기획 타겟 코스트를 나란히 비교합니다.</x:v>
      </x:c>
      <x:c r="B2" s="41" t="str">
        <x:v>현재 코스트와 기획 타겟 코스트를 나란히 비교합니다.</x:v>
      </x:c>
      <x:c r="C2" s="41" t="str">
        <x:v>현재 코스트와 기획 타겟 코스트를 나란히 비교합니다.</x:v>
      </x:c>
      <x:c r="D2" s="41" t="str">
        <x:v>현재 코스트와 기획 타겟 코스트를 나란히 비교합니다.</x:v>
      </x:c>
      <x:c r="E2" s="41" t="str">
        <x:v>현재 코스트와 기획 타겟 코스트를 나란히 비교합니다.</x:v>
      </x:c>
      <x:c r="F2" s="41" t="str">
        <x:v>현재 코스트와 기획 타겟 코스트를 나란히 비교합니다.</x:v>
      </x:c>
      <x:c r="G2" s="41" t="str">
        <x:v>현재 코스트와 기획 타겟 코스트를 나란히 비교합니다.</x:v>
      </x:c>
      <x:c r="H2" s="41" t="str">
        <x:v>현재 코스트와 기획 타겟 코스트를 나란히 비교합니다.</x:v>
      </x:c>
    </x:row>
    <x:row r="3">
      <x:c r="A3" s="51"/>
      <x:c r="B3" s="51"/>
      <x:c r="C3" s="51"/>
      <x:c r="D3" s="51"/>
      <x:c r="E3" s="51"/>
      <x:c r="F3" s="51"/>
      <x:c r="G3" s="51"/>
      <x:c r="H3" s="51"/>
    </x:row>
    <x:row r="4">
      <x:c r="A4" s="50" t="str">
        <x:v>Tier</x:v>
      </x:c>
      <x:c r="B4" s="50" t="str">
        <x:v>Tile</x:v>
      </x:c>
      <x:c r="C4" s="50" t="str">
        <x:v>Current Cost</x:v>
      </x:c>
      <x:c r="D4" s="50" t="str">
        <x:v>Target Cost</x:v>
      </x:c>
      <x:c r="E4" s="50" t="str">
        <x:v>Cost / Tile</x:v>
      </x:c>
      <x:c r="F4" s="50" t="str">
        <x:v>Target Delta</x:v>
      </x:c>
      <x:c r="G4" s="50" t="str">
        <x:v>메모</x:v>
      </x:c>
      <x:c r="H4" s="51"/>
    </x:row>
    <x:row r="5">
      <x:c r="A5" s="45" t="n">
        <x:v>1</x:v>
      </x:c>
      <x:c r="B5" s="48" t="n">
        <x:v>2</x:v>
      </x:c>
      <x:c r="C5" s="48" t="n">
        <x:v>1</x:v>
      </x:c>
      <x:c r="D5" s="55" t="n">
        <x:v>1</x:v>
      </x:c>
      <x:c r="E5" s="56" t="n">
        <x:f>IF($B5=0,"",$D5/$B5)</x:f>
        <x:v>0.5</x:v>
      </x:c>
      <x:c r="F5" s="57" t="n">
        <x:f>$D5-$C5</x:f>
        <x:v>0</x:v>
      </x:c>
      <x:c r="G5" s="45" t="str">
        <x:v>현재 기본값</x:v>
      </x:c>
      <x:c r="H5" s="51"/>
    </x:row>
    <x:row r="6">
      <x:c r="A6" s="45" t="n">
        <x:v>2</x:v>
      </x:c>
      <x:c r="B6" s="48" t="n">
        <x:v>4</x:v>
      </x:c>
      <x:c r="C6" s="48" t="n">
        <x:v>2</x:v>
      </x:c>
      <x:c r="D6" s="55" t="n">
        <x:v>2</x:v>
      </x:c>
      <x:c r="E6" s="56" t="n">
        <x:f>IF($B6=0,"",$D6/$B6)</x:f>
        <x:v>0.5</x:v>
      </x:c>
      <x:c r="F6" s="57" t="n">
        <x:f>$D6-$C6</x:f>
        <x:v>0</x:v>
      </x:c>
      <x:c r="G6" s="45" t="str"/>
      <x:c r="H6" s="51"/>
    </x:row>
    <x:row r="7">
      <x:c r="A7" s="45" t="n">
        <x:v>3</x:v>
      </x:c>
      <x:c r="B7" s="48" t="n">
        <x:v>8</x:v>
      </x:c>
      <x:c r="C7" s="48" t="n">
        <x:v>3</x:v>
      </x:c>
      <x:c r="D7" s="55" t="n">
        <x:v>3</x:v>
      </x:c>
      <x:c r="E7" s="56" t="n">
        <x:f>IF($B7=0,"",$D7/$B7)</x:f>
        <x:v>0.375</x:v>
      </x:c>
      <x:c r="F7" s="57" t="n">
        <x:f>$D7-$C7</x:f>
        <x:v>0</x:v>
      </x:c>
      <x:c r="G7" s="45" t="str"/>
      <x:c r="H7" s="51"/>
    </x:row>
    <x:row r="8">
      <x:c r="A8" s="45" t="n">
        <x:v>4</x:v>
      </x:c>
      <x:c r="B8" s="48" t="n">
        <x:v>16</x:v>
      </x:c>
      <x:c r="C8" s="48" t="n">
        <x:v>5</x:v>
      </x:c>
      <x:c r="D8" s="55" t="n">
        <x:v>5</x:v>
      </x:c>
      <x:c r="E8" s="56" t="n">
        <x:f>IF($B8=0,"",$D8/$B8)</x:f>
        <x:v>0.3125</x:v>
      </x:c>
      <x:c r="F8" s="57" t="n">
        <x:f>$D8-$C8</x:f>
        <x:v>0</x:v>
      </x:c>
      <x:c r="G8" s="45" t="str"/>
      <x:c r="H8" s="51"/>
    </x:row>
    <x:row r="9">
      <x:c r="A9" s="45" t="n">
        <x:v>5</x:v>
      </x:c>
      <x:c r="B9" s="48" t="n">
        <x:v>32</x:v>
      </x:c>
      <x:c r="C9" s="48" t="n">
        <x:v>8</x:v>
      </x:c>
      <x:c r="D9" s="55" t="n">
        <x:v>8</x:v>
      </x:c>
      <x:c r="E9" s="56" t="n">
        <x:f>IF($B9=0,"",$D9/$B9)</x:f>
        <x:v>0.25</x:v>
      </x:c>
      <x:c r="F9" s="57" t="n">
        <x:f>$D9-$C9</x:f>
        <x:v>0</x:v>
      </x:c>
      <x:c r="G9" s="45" t="str"/>
      <x:c r="H9" s="51"/>
    </x:row>
    <x:row r="10">
      <x:c r="A10" s="45" t="n">
        <x:v>6</x:v>
      </x:c>
      <x:c r="B10" s="48" t="n">
        <x:v>64</x:v>
      </x:c>
      <x:c r="C10" s="48" t="n">
        <x:v>13</x:v>
      </x:c>
      <x:c r="D10" s="55" t="n">
        <x:v>13</x:v>
      </x:c>
      <x:c r="E10" s="56" t="n">
        <x:f>IF($B10=0,"",$D10/$B10)</x:f>
        <x:v>0.203125</x:v>
      </x:c>
      <x:c r="F10" s="57" t="n">
        <x:f>$D10-$C10</x:f>
        <x:v>0</x:v>
      </x:c>
      <x:c r="G10" s="45" t="str"/>
      <x:c r="H10" s="51"/>
    </x:row>
    <x:row r="11">
      <x:c r="A11" s="45" t="n">
        <x:v>7</x:v>
      </x:c>
      <x:c r="B11" s="48" t="n">
        <x:v>128</x:v>
      </x:c>
      <x:c r="C11" s="48" t="n">
        <x:v>21</x:v>
      </x:c>
      <x:c r="D11" s="55" t="n">
        <x:v>21</x:v>
      </x:c>
      <x:c r="E11" s="56" t="n">
        <x:f>IF($B11=0,"",$D11/$B11)</x:f>
        <x:v>0.1640625</x:v>
      </x:c>
      <x:c r="F11" s="57" t="n">
        <x:f>$D11-$C11</x:f>
        <x:v>0</x:v>
      </x:c>
      <x:c r="G11" s="45" t="str"/>
      <x:c r="H11" s="51"/>
    </x:row>
    <x:row r="12">
      <x:c r="A12" s="45" t="n">
        <x:v>8</x:v>
      </x:c>
      <x:c r="B12" s="48" t="n">
        <x:v>256</x:v>
      </x:c>
      <x:c r="C12" s="48" t="n">
        <x:v>34</x:v>
      </x:c>
      <x:c r="D12" s="55" t="n">
        <x:v>34</x:v>
      </x:c>
      <x:c r="E12" s="56" t="n">
        <x:f>IF($B12=0,"",$D12/$B12)</x:f>
        <x:v>0.1328125</x:v>
      </x:c>
      <x:c r="F12" s="57" t="n">
        <x:f>$D12-$C12</x:f>
        <x:v>0</x:v>
      </x:c>
      <x:c r="G12" s="45" t="str"/>
      <x:c r="H12" s="51"/>
    </x:row>
    <x:row r="13">
      <x:c r="A13" s="45" t="n">
        <x:v>9</x:v>
      </x:c>
      <x:c r="B13" s="48" t="n">
        <x:v>512</x:v>
      </x:c>
      <x:c r="C13" s="48" t="n">
        <x:v>55</x:v>
      </x:c>
      <x:c r="D13" s="55" t="n">
        <x:v>55</x:v>
      </x:c>
      <x:c r="E13" s="56" t="n">
        <x:f>IF($B13=0,"",$D13/$B13)</x:f>
        <x:v>0.107421875</x:v>
      </x:c>
      <x:c r="F13" s="57" t="n">
        <x:f>$D13-$C13</x:f>
        <x:v>0</x:v>
      </x:c>
      <x:c r="G13" s="45" t="str"/>
      <x:c r="H13" s="51"/>
    </x:row>
    <x:row r="14">
      <x:c r="A14" s="45" t="n">
        <x:v>10</x:v>
      </x:c>
      <x:c r="B14" s="48" t="n">
        <x:v>1024</x:v>
      </x:c>
      <x:c r="C14" s="48" t="n">
        <x:v>89</x:v>
      </x:c>
      <x:c r="D14" s="55" t="n">
        <x:v>89</x:v>
      </x:c>
      <x:c r="E14" s="56" t="n">
        <x:f>IF($B14=0,"",$D14/$B14)</x:f>
        <x:v>0.0869140625</x:v>
      </x:c>
      <x:c r="F14" s="57" t="n">
        <x:f>$D14-$C14</x:f>
        <x:v>0</x:v>
      </x:c>
      <x:c r="G14" s="45" t="str"/>
      <x:c r="H14" s="51"/>
    </x:row>
    <x:row r="15">
      <x:c r="A15" s="45" t="n">
        <x:v>11</x:v>
      </x:c>
      <x:c r="B15" s="48" t="n">
        <x:v>2048</x:v>
      </x:c>
      <x:c r="C15" s="48" t="n">
        <x:v>144</x:v>
      </x:c>
      <x:c r="D15" s="55" t="n">
        <x:v>144</x:v>
      </x:c>
      <x:c r="E15" s="56" t="n">
        <x:f>IF($B15=0,"",$D15/$B15)</x:f>
        <x:v>0.0703125</x:v>
      </x:c>
      <x:c r="F15" s="57" t="n">
        <x:f>$D15-$C15</x:f>
        <x:v>0</x:v>
      </x:c>
      <x:c r="G15" s="45" t="str"/>
      <x:c r="H15" s="51"/>
    </x:row>
  </x:sheetData>
  <x:mergeCells>
    <x:mergeCell ref="A1:H1"/>
    <x:mergeCell ref="A2:H2"/>
  </x:mergeCells>
  <x:conditionalFormatting sqref="F5:F15">
    <x:cfRule type="cellIs" dxfId="0" priority="1" operator="notEqual">
      <x:formula>0</x:formula>
    </x:cfRule>
  </x:conditionalFormatting>
  <x:pageMargins left="0.7" right="0.7" top="0.75" bottom="0.75" header="0.3" footer="0.3"/>
  <x:drawing xmlns:r="http://schemas.openxmlformats.org/officeDocument/2006/relationships" r:id="R8296b12cf8d3452e"/>
  <x:tableParts count="1">
    <x:tablePart xmlns:r="http://schemas.openxmlformats.org/officeDocument/2006/relationships" r:id="R1935f6a98e9643b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.789999961853027" hidden="0" customWidth="1"/>
    <x:col min="2" max="2" width="16.81999969482422" hidden="0" customWidth="1"/>
    <x:col min="3" max="3" width="11.4399995803833" hidden="0" customWidth="1"/>
    <x:col min="4" max="4" width="8.75" hidden="0" customWidth="1"/>
    <x:col min="5" max="5" width="8.75" hidden="0" customWidth="1"/>
    <x:col min="6" max="6" width="12.789999961853027" hidden="0" customWidth="1"/>
    <x:col min="7" max="7" width="12.789999961853027" hidden="0" customWidth="1"/>
    <x:col min="8" max="8" width="14.130000114440918" hidden="0" customWidth="1"/>
    <x:col min="9" max="9" width="14.130000114440918" hidden="0" customWidth="1"/>
    <x:col min="10" max="10" width="15.479999542236328" hidden="0" customWidth="1"/>
    <x:col min="11" max="11" width="13.460000038146973" hidden="0" customWidth="1"/>
    <x:col min="12" max="12" width="13.460000038146973" hidden="0" customWidth="1"/>
    <x:col min="13" max="13" width="14.130000114440918" hidden="0" customWidth="1"/>
    <x:col min="14" max="14" width="37.0099983215332" hidden="0" customWidth="1"/>
  </x:cols>
  <x:sheetData>
    <x:row r="1" ht="25.5" customHeight="1">
      <x:c r="A1" s="61" t="str">
        <x:v>스킬 밸런스</x:v>
      </x:c>
      <x:c r="B1" s="61" t="str">
        <x:v>스킬 밸런스</x:v>
      </x:c>
      <x:c r="C1" s="61" t="str">
        <x:v>스킬 밸런스</x:v>
      </x:c>
      <x:c r="D1" s="61" t="str">
        <x:v>스킬 밸런스</x:v>
      </x:c>
      <x:c r="E1" s="61" t="str">
        <x:v>스킬 밸런스</x:v>
      </x:c>
      <x:c r="F1" s="61" t="str">
        <x:v>스킬 밸런스</x:v>
      </x:c>
      <x:c r="G1" s="61" t="str">
        <x:v>스킬 밸런스</x:v>
      </x:c>
      <x:c r="H1" s="61" t="str">
        <x:v>스킬 밸런스</x:v>
      </x:c>
      <x:c r="I1" s="61" t="str">
        <x:v>스킬 밸런스</x:v>
      </x:c>
      <x:c r="J1" s="61" t="str">
        <x:v>스킬 밸런스</x:v>
      </x:c>
      <x:c r="K1" s="61" t="str">
        <x:v>스킬 밸런스</x:v>
      </x:c>
      <x:c r="L1" s="61" t="str">
        <x:v>스킬 밸런스</x:v>
      </x:c>
      <x:c r="M1" s="61" t="str">
        <x:v>스킬 밸런스</x:v>
      </x:c>
      <x:c r="N1" s="61" t="str">
        <x:v>스킬 밸런스</x:v>
      </x:c>
    </x:row>
    <x:row r="2" ht="19.5" customHeight="1">
      <x:c r="A2" s="41" t="str">
        <x:v>기본 스킬 세트를 기준으로 코스트 효율, 공포 상태 방어량, 공격/방어 효율을 자동 계산합니다.</x:v>
      </x:c>
      <x:c r="B2" s="41" t="str">
        <x:v>기본 스킬 세트를 기준으로 코스트 효율, 공포 상태 방어량, 공격/방어 효율을 자동 계산합니다.</x:v>
      </x:c>
      <x:c r="C2" s="41" t="str">
        <x:v>기본 스킬 세트를 기준으로 코스트 효율, 공포 상태 방어량, 공격/방어 효율을 자동 계산합니다.</x:v>
      </x:c>
      <x:c r="D2" s="41" t="str">
        <x:v>기본 스킬 세트를 기준으로 코스트 효율, 공포 상태 방어량, 공격/방어 효율을 자동 계산합니다.</x:v>
      </x:c>
      <x:c r="E2" s="41" t="str">
        <x:v>기본 스킬 세트를 기준으로 코스트 효율, 공포 상태 방어량, 공격/방어 효율을 자동 계산합니다.</x:v>
      </x:c>
      <x:c r="F2" s="41" t="str">
        <x:v>기본 스킬 세트를 기준으로 코스트 효율, 공포 상태 방어량, 공격/방어 효율을 자동 계산합니다.</x:v>
      </x:c>
      <x:c r="G2" s="41" t="str">
        <x:v>기본 스킬 세트를 기준으로 코스트 효율, 공포 상태 방어량, 공격/방어 효율을 자동 계산합니다.</x:v>
      </x:c>
      <x:c r="H2" s="41" t="str">
        <x:v>기본 스킬 세트를 기준으로 코스트 효율, 공포 상태 방어량, 공격/방어 효율을 자동 계산합니다.</x:v>
      </x:c>
      <x:c r="I2" s="51"/>
      <x:c r="J2" s="51"/>
      <x:c r="K2" s="51"/>
      <x:c r="L2" s="51"/>
      <x:c r="M2" s="51"/>
      <x:c r="N2" s="51"/>
    </x:row>
    <x:row r="3">
      <x:c r="A3" s="51"/>
      <x:c r="B3" s="51"/>
      <x:c r="C3" s="51"/>
      <x:c r="D3" s="51"/>
      <x:c r="E3" s="51"/>
      <x:c r="F3" s="51"/>
      <x:c r="G3" s="51"/>
      <x:c r="H3" s="51"/>
      <x:c r="I3" s="51"/>
      <x:c r="J3" s="51"/>
      <x:c r="K3" s="51"/>
      <x:c r="L3" s="51"/>
      <x:c r="M3" s="51"/>
      <x:c r="N3" s="51"/>
    </x:row>
    <x:row r="4">
      <x:c r="A4" s="50" t="str">
        <x:v>Skill ID</x:v>
      </x:c>
      <x:c r="B4" s="50" t="str">
        <x:v>Skill Name</x:v>
      </x:c>
      <x:c r="C4" s="50" t="str">
        <x:v>Type</x:v>
      </x:c>
      <x:c r="D4" s="50" t="str">
        <x:v>Cost</x:v>
      </x:c>
      <x:c r="E4" s="50" t="str">
        <x:v>Power</x:v>
      </x:c>
      <x:c r="F4" s="50" t="str">
        <x:v>Target Atk Mod</x:v>
      </x:c>
      <x:c r="G4" s="50" t="str">
        <x:v>Self Def Bonus</x:v>
      </x:c>
      <x:c r="H4" s="50" t="str">
        <x:v>Eff Damage</x:v>
      </x:c>
      <x:c r="I4" s="50" t="str">
        <x:v>Base Block</x:v>
      </x:c>
      <x:c r="J4" s="50" t="str">
        <x:v>Fear Block</x:v>
      </x:c>
      <x:c r="K4" s="50" t="str">
        <x:v>Damage / Cost</x:v>
      </x:c>
      <x:c r="L4" s="50" t="str">
        <x:v>Block / Cost</x:v>
      </x:c>
      <x:c r="M4" s="50" t="str">
        <x:v>Priority</x:v>
      </x:c>
      <x:c r="N4" s="50" t="str">
        <x:v>Description</x:v>
      </x:c>
    </x:row>
    <x:row r="5">
      <x:c r="A5" s="45" t="str">
        <x:v>attack_1</x:v>
      </x:c>
      <x:c r="B5" s="45" t="str">
        <x:v>1단계 공격</x:v>
      </x:c>
      <x:c r="C5" s="45" t="str">
        <x:v>Attack</x:v>
      </x:c>
      <x:c r="D5" s="55" t="n">
        <x:v>5</x:v>
      </x:c>
      <x:c r="E5" s="55" t="n">
        <x:v>3</x:v>
      </x:c>
      <x:c r="F5" s="55" t="n">
        <x:v>0</x:v>
      </x:c>
      <x:c r="G5" s="55" t="n">
        <x:v>0</x:v>
      </x:c>
      <x:c r="H5" s="48" t="n">
        <x:f>IF($C5="Attack",Inputs!$B$5+$E5,0)</x:f>
        <x:v>5</x:v>
      </x:c>
      <x:c r="I5" s="48" t="n">
        <x:f>IF($C5="Defense",MAX(0,$E5+Inputs!$B$9),0)</x:f>
        <x:v>0</x:v>
      </x:c>
      <x:c r="J5" s="48" t="n">
        <x:f>IF($C5="Defense",MAX(0,$E5+Inputs!$B$9-Inputs!$B$10),0)</x:f>
        <x:v>0</x:v>
      </x:c>
      <x:c r="K5" s="58" t="n">
        <x:f>IF($D5=0,"",$H5/$D5)</x:f>
        <x:v>1</x:v>
      </x:c>
      <x:c r="L5" s="58" t="n">
        <x:f>IF($D5=0,"",$I5/$D5)</x:f>
        <x:v>0</x:v>
      </x:c>
      <x:c r="M5" s="46" t="str">
        <x:v>Core</x:v>
      </x:c>
      <x:c r="N5" s="45" t="str">
        <x:v>기본 공격.</x:v>
      </x:c>
    </x:row>
    <x:row r="6">
      <x:c r="A6" s="45" t="str">
        <x:v>attack_2</x:v>
      </x:c>
      <x:c r="B6" s="45" t="str">
        <x:v>2단계 공격</x:v>
      </x:c>
      <x:c r="C6" s="45" t="str">
        <x:v>Attack</x:v>
      </x:c>
      <x:c r="D6" s="55" t="n">
        <x:v>8</x:v>
      </x:c>
      <x:c r="E6" s="55" t="n">
        <x:v>4</x:v>
      </x:c>
      <x:c r="F6" s="55" t="n">
        <x:v>-2</x:v>
      </x:c>
      <x:c r="G6" s="55" t="n">
        <x:v>0</x:v>
      </x:c>
      <x:c r="H6" s="48" t="n">
        <x:f>IF($C6="Attack",Inputs!$B$5+$E6,0)</x:f>
        <x:v>6</x:v>
      </x:c>
      <x:c r="I6" s="48" t="n">
        <x:f>IF($C6="Defense",MAX(0,$E6+Inputs!$B$9),0)</x:f>
        <x:v>0</x:v>
      </x:c>
      <x:c r="J6" s="48" t="n">
        <x:f>IF($C6="Defense",MAX(0,$E6+Inputs!$B$9-Inputs!$B$10),0)</x:f>
        <x:v>0</x:v>
      </x:c>
      <x:c r="K6" s="58" t="n">
        <x:f>IF($D6=0,"",$H6/$D6)</x:f>
        <x:v>0.75</x:v>
      </x:c>
      <x:c r="L6" s="58" t="n">
        <x:f>IF($D6=0,"",$I6/$D6)</x:f>
        <x:v>0</x:v>
      </x:c>
      <x:c r="M6" s="46" t="str">
        <x:v>Core</x:v>
      </x:c>
      <x:c r="N6" s="45" t="str">
        <x:v>공격하고 적 공격력을 낮춘다.</x:v>
      </x:c>
    </x:row>
    <x:row r="7">
      <x:c r="A7" s="45" t="str">
        <x:v>attack_3</x:v>
      </x:c>
      <x:c r="B7" s="45" t="str">
        <x:v>3단계 공격</x:v>
      </x:c>
      <x:c r="C7" s="45" t="str">
        <x:v>Attack</x:v>
      </x:c>
      <x:c r="D7" s="55" t="n">
        <x:v>12</x:v>
      </x:c>
      <x:c r="E7" s="55" t="n">
        <x:v>8</x:v>
      </x:c>
      <x:c r="F7" s="55" t="n">
        <x:v>0</x:v>
      </x:c>
      <x:c r="G7" s="55" t="n">
        <x:v>0</x:v>
      </x:c>
      <x:c r="H7" s="48" t="n">
        <x:f>IF($C7="Attack",Inputs!$B$5+$E7,0)</x:f>
        <x:v>10</x:v>
      </x:c>
      <x:c r="I7" s="48" t="n">
        <x:f>IF($C7="Defense",MAX(0,$E7+Inputs!$B$9),0)</x:f>
        <x:v>0</x:v>
      </x:c>
      <x:c r="J7" s="48" t="n">
        <x:f>IF($C7="Defense",MAX(0,$E7+Inputs!$B$9-Inputs!$B$10),0)</x:f>
        <x:v>0</x:v>
      </x:c>
      <x:c r="K7" s="58" t="n">
        <x:f>IF($D7=0,"",$H7/$D7)</x:f>
        <x:v>0.8333333333333334</x:v>
      </x:c>
      <x:c r="L7" s="58" t="n">
        <x:f>IF($D7=0,"",$I7/$D7)</x:f>
        <x:v>0</x:v>
      </x:c>
      <x:c r="M7" s="46" t="str">
        <x:v>Core</x:v>
      </x:c>
      <x:c r="N7" s="45" t="str">
        <x:v>강한 공격.</x:v>
      </x:c>
    </x:row>
    <x:row r="8">
      <x:c r="A8" s="45" t="str">
        <x:v>defense_1</x:v>
      </x:c>
      <x:c r="B8" s="45" t="str">
        <x:v>1단계 방어</x:v>
      </x:c>
      <x:c r="C8" s="45" t="str">
        <x:v>Defense</x:v>
      </x:c>
      <x:c r="D8" s="55" t="n">
        <x:v>5</x:v>
      </x:c>
      <x:c r="E8" s="55" t="n">
        <x:v>3</x:v>
      </x:c>
      <x:c r="F8" s="55" t="n">
        <x:v>0</x:v>
      </x:c>
      <x:c r="G8" s="55" t="n">
        <x:v>0</x:v>
      </x:c>
      <x:c r="H8" s="48" t="n">
        <x:f>IF($C8="Attack",Inputs!$B$5+$E8,0)</x:f>
        <x:v>0</x:v>
      </x:c>
      <x:c r="I8" s="48" t="n">
        <x:f>IF($C8="Defense",MAX(0,$E8+Inputs!$B$9),0)</x:f>
        <x:v>3</x:v>
      </x:c>
      <x:c r="J8" s="48" t="n">
        <x:f>IF($C8="Defense",MAX(0,$E8+Inputs!$B$9-Inputs!$B$10),0)</x:f>
        <x:v>0</x:v>
      </x:c>
      <x:c r="K8" s="58" t="n">
        <x:f>IF($D8=0,"",$H8/$D8)</x:f>
        <x:v>0</x:v>
      </x:c>
      <x:c r="L8" s="58" t="n">
        <x:f>IF($D8=0,"",$I8/$D8)</x:f>
        <x:v>0.6</x:v>
      </x:c>
      <x:c r="M8" s="46" t="str">
        <x:v>Core</x:v>
      </x:c>
      <x:c r="N8" s="45" t="str">
        <x:v>방어도 3을 얻는다.</x:v>
      </x:c>
    </x:row>
    <x:row r="9">
      <x:c r="A9" s="45" t="str">
        <x:v>defense_2</x:v>
      </x:c>
      <x:c r="B9" s="45" t="str">
        <x:v>2단계 방어</x:v>
      </x:c>
      <x:c r="C9" s="45" t="str">
        <x:v>Defense</x:v>
      </x:c>
      <x:c r="D9" s="55" t="n">
        <x:v>8</x:v>
      </x:c>
      <x:c r="E9" s="55" t="n">
        <x:v>4</x:v>
      </x:c>
      <x:c r="F9" s="55" t="n">
        <x:v>0</x:v>
      </x:c>
      <x:c r="G9" s="55" t="n">
        <x:v>2</x:v>
      </x:c>
      <x:c r="H9" s="48" t="n">
        <x:f>IF($C9="Attack",Inputs!$B$5+$E9,0)</x:f>
        <x:v>0</x:v>
      </x:c>
      <x:c r="I9" s="48" t="n">
        <x:f>IF($C9="Defense",MAX(0,$E9+Inputs!$B$9),0)</x:f>
        <x:v>4</x:v>
      </x:c>
      <x:c r="J9" s="48" t="n">
        <x:f>IF($C9="Defense",MAX(0,$E9+Inputs!$B$9-Inputs!$B$10),0)</x:f>
        <x:v>0</x:v>
      </x:c>
      <x:c r="K9" s="58" t="n">
        <x:f>IF($D9=0,"",$H9/$D9)</x:f>
        <x:v>0</x:v>
      </x:c>
      <x:c r="L9" s="58" t="n">
        <x:f>IF($D9=0,"",$I9/$D9)</x:f>
        <x:v>0.5</x:v>
      </x:c>
      <x:c r="M9" s="46" t="str">
        <x:v>Core</x:v>
      </x:c>
      <x:c r="N9" s="45" t="str">
        <x:v>방어도를 얻고 이후 획득 방어도를 증가시킨다.</x:v>
      </x:c>
    </x:row>
    <x:row r="10">
      <x:c r="A10" s="45" t="str">
        <x:v>defense_3</x:v>
      </x:c>
      <x:c r="B10" s="45" t="str">
        <x:v>3단계 방어</x:v>
      </x:c>
      <x:c r="C10" s="45" t="str">
        <x:v>Defense</x:v>
      </x:c>
      <x:c r="D10" s="55" t="n">
        <x:v>12</x:v>
      </x:c>
      <x:c r="E10" s="55" t="n">
        <x:v>10</x:v>
      </x:c>
      <x:c r="F10" s="55" t="n">
        <x:v>0</x:v>
      </x:c>
      <x:c r="G10" s="55" t="n">
        <x:v>0</x:v>
      </x:c>
      <x:c r="H10" s="48" t="n">
        <x:f>IF($C10="Attack",Inputs!$B$5+$E10,0)</x:f>
        <x:v>0</x:v>
      </x:c>
      <x:c r="I10" s="48" t="n">
        <x:f>IF($C10="Defense",MAX(0,$E10+Inputs!$B$9),0)</x:f>
        <x:v>10</x:v>
      </x:c>
      <x:c r="J10" s="48" t="n">
        <x:f>IF($C10="Defense",MAX(0,$E10+Inputs!$B$9-Inputs!$B$10),0)</x:f>
        <x:v>4</x:v>
      </x:c>
      <x:c r="K10" s="58" t="n">
        <x:f>IF($D10=0,"",$H10/$D10)</x:f>
        <x:v>0</x:v>
      </x:c>
      <x:c r="L10" s="58" t="n">
        <x:f>IF($D10=0,"",$I10/$D10)</x:f>
        <x:v>0.8333333333333334</x:v>
      </x:c>
      <x:c r="M10" s="46" t="str">
        <x:v>Core</x:v>
      </x:c>
      <x:c r="N10" s="45" t="str">
        <x:v>강한 방어.</x:v>
      </x:c>
    </x:row>
  </x:sheetData>
  <x:mergeCells>
    <x:mergeCell ref="A1:N1"/>
    <x:mergeCell ref="A2:H2"/>
  </x:mergeCells>
  <x:conditionalFormatting sqref="K5:L10">
    <x:cfRule type="colorScale" priority="1">
      <x:colorScale>
        <x:cfvo type="min"/>
        <x:cfvo type="percentile" val="50"/>
        <x:cfvo type="max"/>
        <x:color rgb="F8D7DA"/>
        <x:color rgb="FFF3BF"/>
        <x:color rgb="DFF4E7"/>
      </x:colorScale>
    </x:cfRule>
  </x:conditionalFormatting>
  <x:dataValidations count="2">
    <x:dataValidation type="list" sqref="C5:C30">
      <x:formula1>Lists!$A$2:$A$4</x:formula1>
    </x:dataValidation>
    <x:dataValidation type="list" sqref="M5:M30">
      <x:formula1>Lists!$H$2:$H$5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8c5e29ef6e4f7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520000457763672" hidden="0" customWidth="1"/>
    <x:col min="2" max="2" width="11.4399995803833" hidden="0" customWidth="1"/>
    <x:col min="3" max="3" width="14.800000190734863" hidden="0" customWidth="1"/>
    <x:col min="4" max="4" width="18.84000015258789" hidden="0" customWidth="1"/>
    <x:col min="5" max="5" width="8.75" hidden="0" customWidth="1"/>
    <x:col min="6" max="6" width="9.420000076293945" hidden="0" customWidth="1"/>
    <x:col min="7" max="7" width="9.420000076293945" hidden="0" customWidth="1"/>
    <x:col min="8" max="8" width="10.09000015258789" hidden="0" customWidth="1"/>
    <x:col min="9" max="9" width="10.09000015258789" hidden="0" customWidth="1"/>
    <x:col min="10" max="10" width="10.09000015258789" hidden="0" customWidth="1"/>
    <x:col min="11" max="11" width="11.4399995803833" hidden="0" customWidth="1"/>
    <x:col min="12" max="12" width="10.770000457763672" hidden="0" customWidth="1"/>
    <x:col min="13" max="13" width="10.770000457763672" hidden="0" customWidth="1"/>
    <x:col min="14" max="14" width="10.770000457763672" hidden="0" customWidth="1"/>
    <x:col min="15" max="15" width="10.09000015258789" hidden="0" customWidth="1"/>
    <x:col min="16" max="16" width="10.770000457763672" hidden="0" customWidth="1"/>
    <x:col min="17" max="17" width="10.770000457763672" hidden="0" customWidth="1"/>
    <x:col min="18" max="18" width="10.770000457763672" hidden="0" customWidth="1"/>
    <x:col min="19" max="19" width="14.800000190734863" hidden="0" customWidth="1"/>
    <x:col min="20" max="20" width="14.800000190734863" hidden="0" customWidth="1"/>
    <x:col min="21" max="21" width="14.800000190734863" hidden="0" customWidth="1"/>
    <x:col min="22" max="22" width="12.109999656677246" hidden="0" customWidth="1"/>
    <x:col min="23" max="23" width="11.4399995803833" hidden="0" customWidth="1"/>
    <x:col min="24" max="24" width="31.6299991607666" hidden="0" customWidth="1"/>
  </x:cols>
  <x:sheetData>
    <x:row r="1" ht="25.5" customHeight="1">
      <x:c r="A1" s="61" t="str">
        <x:v>적 로스터 / AI 압박도</x:v>
      </x:c>
      <x:c r="B1" s="61" t="str">
        <x:v>적 로스터 / AI 압박도</x:v>
      </x:c>
      <x:c r="C1" s="61" t="str">
        <x:v>적 로스터 / AI 압박도</x:v>
      </x:c>
      <x:c r="D1" s="61" t="str">
        <x:v>적 로스터 / AI 압박도</x:v>
      </x:c>
      <x:c r="E1" s="61" t="str">
        <x:v>적 로스터 / AI 압박도</x:v>
      </x:c>
      <x:c r="F1" s="61" t="str">
        <x:v>적 로스터 / AI 압박도</x:v>
      </x:c>
      <x:c r="G1" s="61" t="str">
        <x:v>적 로스터 / AI 압박도</x:v>
      </x:c>
      <x:c r="H1" s="61" t="str">
        <x:v>적 로스터 / AI 압박도</x:v>
      </x:c>
      <x:c r="I1" s="61" t="str">
        <x:v>적 로스터 / AI 압박도</x:v>
      </x:c>
      <x:c r="J1" s="61" t="str">
        <x:v>적 로스터 / AI 압박도</x:v>
      </x:c>
      <x:c r="K1" s="61" t="str">
        <x:v>적 로스터 / AI 압박도</x:v>
      </x:c>
      <x:c r="L1" s="61" t="str">
        <x:v>적 로스터 / AI 압박도</x:v>
      </x:c>
      <x:c r="M1" s="61" t="str">
        <x:v>적 로스터 / AI 압박도</x:v>
      </x:c>
      <x:c r="N1" s="61" t="str">
        <x:v>적 로스터 / AI 압박도</x:v>
      </x:c>
      <x:c r="O1" s="61" t="str">
        <x:v>적 로스터 / AI 압박도</x:v>
      </x:c>
      <x:c r="P1" s="61" t="str">
        <x:v>적 로스터 / AI 압박도</x:v>
      </x:c>
      <x:c r="Q1" s="61" t="str">
        <x:v>적 로스터 / AI 압박도</x:v>
      </x:c>
      <x:c r="R1" s="61" t="str">
        <x:v>적 로스터 / AI 압박도</x:v>
      </x:c>
      <x:c r="S1" s="61" t="str">
        <x:v>적 로스터 / AI 압박도</x:v>
      </x:c>
      <x:c r="T1" s="61" t="str">
        <x:v>적 로스터 / AI 압박도</x:v>
      </x:c>
      <x:c r="U1" s="61" t="str">
        <x:v>적 로스터 / AI 압박도</x:v>
      </x:c>
      <x:c r="V1" s="61" t="str">
        <x:v>적 로스터 / AI 압박도</x:v>
      </x:c>
      <x:c r="W1" s="61" t="str">
        <x:v>적 로스터 / AI 압박도</x:v>
      </x:c>
      <x:c r="X1" s="61" t="str">
        <x:v>적 로스터 / AI 압박도</x:v>
      </x:c>
    </x:row>
    <x:row r="2" ht="19.5" customHeight="1">
      <x:c r="A2" s="41" t="str">
        <x:v>적 후보군을 기준으로 HP, 공격 기대값, 디버프 압박, 위험도를 계산합니다.</x:v>
      </x:c>
      <x:c r="B2" s="41" t="str">
        <x:v>적 후보군을 기준으로 HP, 공격 기대값, 디버프 압박, 위험도를 계산합니다.</x:v>
      </x:c>
      <x:c r="C2" s="41" t="str">
        <x:v>적 후보군을 기준으로 HP, 공격 기대값, 디버프 압박, 위험도를 계산합니다.</x:v>
      </x:c>
      <x:c r="D2" s="41" t="str">
        <x:v>적 후보군을 기준으로 HP, 공격 기대값, 디버프 압박, 위험도를 계산합니다.</x:v>
      </x:c>
      <x:c r="E2" s="41" t="str">
        <x:v>적 후보군을 기준으로 HP, 공격 기대값, 디버프 압박, 위험도를 계산합니다.</x:v>
      </x:c>
      <x:c r="F2" s="41" t="str">
        <x:v>적 후보군을 기준으로 HP, 공격 기대값, 디버프 압박, 위험도를 계산합니다.</x:v>
      </x:c>
      <x:c r="G2" s="41" t="str">
        <x:v>적 후보군을 기준으로 HP, 공격 기대값, 디버프 압박, 위험도를 계산합니다.</x:v>
      </x:c>
      <x:c r="H2" s="41" t="str">
        <x:v>적 후보군을 기준으로 HP, 공격 기대값, 디버프 압박, 위험도를 계산합니다.</x:v>
      </x:c>
      <x:c r="I2" s="51"/>
      <x:c r="J2" s="51"/>
      <x:c r="K2" s="51"/>
      <x:c r="L2" s="51"/>
      <x:c r="M2" s="51"/>
      <x:c r="N2" s="51"/>
      <x:c r="O2" s="51"/>
      <x:c r="P2" s="51"/>
      <x:c r="Q2" s="51"/>
      <x:c r="R2" s="51"/>
      <x:c r="S2" s="51"/>
      <x:c r="T2" s="51"/>
      <x:c r="U2" s="51"/>
      <x:c r="V2" s="51"/>
      <x:c r="W2" s="51"/>
      <x:c r="X2" s="51"/>
    </x:row>
    <x:row r="3">
      <x:c r="A3" s="51"/>
      <x:c r="B3" s="51"/>
      <x:c r="C3" s="51"/>
      <x:c r="D3" s="51"/>
      <x:c r="E3" s="51"/>
      <x:c r="F3" s="51"/>
      <x:c r="G3" s="51"/>
      <x:c r="H3" s="51"/>
      <x:c r="I3" s="51"/>
      <x:c r="J3" s="51"/>
      <x:c r="K3" s="51"/>
      <x:c r="L3" s="51"/>
      <x:c r="M3" s="51"/>
      <x:c r="N3" s="51"/>
      <x:c r="O3" s="51"/>
      <x:c r="P3" s="51"/>
      <x:c r="Q3" s="51"/>
      <x:c r="R3" s="51"/>
      <x:c r="S3" s="51"/>
      <x:c r="T3" s="51"/>
      <x:c r="U3" s="51"/>
      <x:c r="V3" s="51"/>
      <x:c r="W3" s="51"/>
      <x:c r="X3" s="51"/>
    </x:row>
    <x:row r="4">
      <x:c r="A4" s="50" t="str">
        <x:v>Enemy</x:v>
      </x:c>
      <x:c r="B4" s="50" t="str">
        <x:v>Strength</x:v>
      </x:c>
      <x:c r="C4" s="50" t="str">
        <x:v>AI Bias</x:v>
      </x:c>
      <x:c r="D4" s="50" t="str">
        <x:v>Debuff Pattern</x:v>
      </x:c>
      <x:c r="E4" s="50" t="str">
        <x:v>Max HP</x:v>
      </x:c>
      <x:c r="F4" s="50" t="str">
        <x:v>Attack</x:v>
      </x:c>
      <x:c r="G4" s="50" t="str">
        <x:v>Defense</x:v>
      </x:c>
      <x:c r="H4" s="50" t="str">
        <x:v>Debuff Power</x:v>
      </x:c>
      <x:c r="I4" s="50" t="str">
        <x:v>Difficulty</x:v>
      </x:c>
      <x:c r="J4" s="50" t="str">
        <x:v>Actions / Turn</x:v>
      </x:c>
      <x:c r="K4" s="50" t="str">
        <x:v>Debuff Interval</x:v>
      </x:c>
      <x:c r="L4" s="50" t="str">
        <x:v>Debuff Share</x:v>
      </x:c>
      <x:c r="M4" s="50" t="str">
        <x:v>Attack Chance</x:v>
      </x:c>
      <x:c r="N4" s="50" t="str">
        <x:v>Defense Chance</x:v>
      </x:c>
      <x:c r="O4" s="50" t="str">
        <x:v>Strength Mult</x:v>
      </x:c>
      <x:c r="P4" s="50" t="str">
        <x:v>Eff Attack</x:v>
      </x:c>
      <x:c r="Q4" s="50" t="str">
        <x:v>Eff Defense</x:v>
      </x:c>
      <x:c r="R4" s="50" t="str">
        <x:v>Eff Debuff</x:v>
      </x:c>
      <x:c r="S4" s="50" t="str">
        <x:v>Exp Atk / Turn</x:v>
      </x:c>
      <x:c r="T4" s="50" t="str">
        <x:v>Exp Def / Turn</x:v>
      </x:c>
      <x:c r="U4" s="50" t="str">
        <x:v>Darkness Pressure</x:v>
      </x:c>
      <x:c r="V4" s="50" t="str">
        <x:v>TTK Best Hit</x:v>
      </x:c>
      <x:c r="W4" s="50" t="str">
        <x:v>Risk Score</x:v>
      </x:c>
      <x:c r="X4" s="50" t="str">
        <x:v>메모</x:v>
      </x:c>
    </x:row>
    <x:row r="5">
      <x:c r="A5" s="45" t="str">
        <x:v>붉은 송곳니</x:v>
      </x:c>
      <x:c r="B5" s="46" t="str">
        <x:v>Normal</x:v>
      </x:c>
      <x:c r="C5" s="46" t="str">
        <x:v>AttackHeavy</x:v>
      </x:c>
      <x:c r="D5" s="46" t="str">
        <x:v>FearThenDarkness</x:v>
      </x:c>
      <x:c r="E5" s="55" t="n">
        <x:v>32</x:v>
      </x:c>
      <x:c r="F5" s="55" t="n">
        <x:v>5</x:v>
      </x:c>
      <x:c r="G5" s="55" t="n">
        <x:v>3</x:v>
      </x:c>
      <x:c r="H5" s="55" t="n">
        <x:v>1</x:v>
      </x:c>
      <x:c r="I5" s="55" t="n">
        <x:v>1</x:v>
      </x:c>
      <x:c r="J5" s="55" t="n">
        <x:v>1</x:v>
      </x:c>
      <x:c r="K5" s="55" t="n">
        <x:v>3</x:v>
      </x:c>
      <x:c r="L5" s="49" t="n">
        <x:f>IF($K5&gt;0,1/$K5,0)</x:f>
        <x:v>0.3333333333333333</x:v>
      </x:c>
      <x:c r="M5" s="49" t="n">
        <x:f>IF($C5="AttackHeavy",Inputs!$B$21/(Inputs!$B$21+Inputs!$B$22),IF($C5="DefenseHeavy",Inputs!$B$23/(Inputs!$B$23+Inputs!$B$24),Inputs!$B$19/(Inputs!$B$19+Inputs!$B$20)))</x:f>
        <x:v>0.8</x:v>
      </x:c>
      <x:c r="N5" s="49" t="n">
        <x:f>1-$M5</x:f>
        <x:v>0.19999999999999996</x:v>
      </x:c>
      <x:c r="O5" s="47" t="n">
        <x:f>IF($B5="Enhanced",Inputs!$B$18,1)</x:f>
        <x:v>1</x:v>
      </x:c>
      <x:c r="P5" s="47" t="n">
        <x:f>CEILING($F5*$O5,1)</x:f>
        <x:v>5</x:v>
      </x:c>
      <x:c r="Q5" s="47" t="n">
        <x:f>CEILING($G5*$O5,1)</x:f>
        <x:v>3</x:v>
      </x:c>
      <x:c r="R5" s="47" t="n">
        <x:f>CEILING($H5*$O5,1)</x:f>
        <x:v>1</x:v>
      </x:c>
      <x:c r="S5" s="47" t="n">
        <x:f>$P5*$M5*(1-$L5)*$J5</x:f>
        <x:v>2.666666666666667</x:v>
      </x:c>
      <x:c r="T5" s="47" t="n">
        <x:f>$Q5*$N5*(1-$L5)*$J5</x:f>
        <x:v>0.39999999999999997</x:v>
      </x:c>
      <x:c r="U5" s="47" t="n">
        <x:f>IF($K5&gt;0,$R5/(2*$K5),0)</x:f>
        <x:v>0.16666666666666666</x:v>
      </x:c>
      <x:c r="V5" s="47" t="n">
        <x:f>IF(MAX(Skills!$H$5:$H$10)&gt;0,CEILING($E5/MAX(Skills!$H$5:$H$10),1),"")</x:f>
        <x:v>4</x:v>
      </x:c>
      <x:c r="W5" s="47" t="n">
        <x:f>ROUND(($S5*2)+($T5*0.6)+($E5/8)+($I5*8)+($U5*12),1)</x:f>
        <x:v>19.6</x:v>
      </x:c>
      <x:c r="X5" s="45" t="str"/>
    </x:row>
    <x:row r="6">
      <x:c r="A6" s="45" t="str">
        <x:v>검은 송곳니</x:v>
      </x:c>
      <x:c r="B6" s="46" t="str">
        <x:v>Normal</x:v>
      </x:c>
      <x:c r="C6" s="46" t="str">
        <x:v>AttackHeavy</x:v>
      </x:c>
      <x:c r="D6" s="46" t="str">
        <x:v>DarknessThenFear</x:v>
      </x:c>
      <x:c r="E6" s="55" t="n">
        <x:v>32</x:v>
      </x:c>
      <x:c r="F6" s="55" t="n">
        <x:v>5</x:v>
      </x:c>
      <x:c r="G6" s="55" t="n">
        <x:v>3</x:v>
      </x:c>
      <x:c r="H6" s="55" t="n">
        <x:v>1</x:v>
      </x:c>
      <x:c r="I6" s="55" t="n">
        <x:v>1</x:v>
      </x:c>
      <x:c r="J6" s="55" t="n">
        <x:v>1</x:v>
      </x:c>
      <x:c r="K6" s="55" t="n">
        <x:v>3</x:v>
      </x:c>
      <x:c r="L6" s="49" t="n">
        <x:f>IF($K6&gt;0,1/$K6,0)</x:f>
        <x:v>0.3333333333333333</x:v>
      </x:c>
      <x:c r="M6" s="49" t="n">
        <x:f>IF($C6="AttackHeavy",Inputs!$B$21/(Inputs!$B$21+Inputs!$B$22),IF($C6="DefenseHeavy",Inputs!$B$23/(Inputs!$B$23+Inputs!$B$24),Inputs!$B$19/(Inputs!$B$19+Inputs!$B$20)))</x:f>
        <x:v>0.8</x:v>
      </x:c>
      <x:c r="N6" s="49" t="n">
        <x:f>1-$M6</x:f>
        <x:v>0.19999999999999996</x:v>
      </x:c>
      <x:c r="O6" s="47" t="n">
        <x:f>IF($B6="Enhanced",Inputs!$B$18,1)</x:f>
        <x:v>1</x:v>
      </x:c>
      <x:c r="P6" s="47" t="n">
        <x:f>CEILING($F6*$O6,1)</x:f>
        <x:v>5</x:v>
      </x:c>
      <x:c r="Q6" s="47" t="n">
        <x:f>CEILING($G6*$O6,1)</x:f>
        <x:v>3</x:v>
      </x:c>
      <x:c r="R6" s="47" t="n">
        <x:f>CEILING($H6*$O6,1)</x:f>
        <x:v>1</x:v>
      </x:c>
      <x:c r="S6" s="47" t="n">
        <x:f>$P6*$M6*(1-$L6)*$J6</x:f>
        <x:v>2.666666666666667</x:v>
      </x:c>
      <x:c r="T6" s="47" t="n">
        <x:f>$Q6*$N6*(1-$L6)*$J6</x:f>
        <x:v>0.39999999999999997</x:v>
      </x:c>
      <x:c r="U6" s="47" t="n">
        <x:f>IF($K6&gt;0,$R6/(2*$K6),0)</x:f>
        <x:v>0.16666666666666666</x:v>
      </x:c>
      <x:c r="V6" s="47" t="n">
        <x:f>IF(MAX(Skills!$H$5:$H$10)&gt;0,CEILING($E6/MAX(Skills!$H$5:$H$10),1),"")</x:f>
        <x:v>4</x:v>
      </x:c>
      <x:c r="W6" s="47" t="n">
        <x:f>ROUND(($S6*2)+($T6*0.6)+($E6/8)+($I6*8)+($U6*12),1)</x:f>
        <x:v>19.6</x:v>
      </x:c>
      <x:c r="X6" s="45" t="str"/>
    </x:row>
    <x:row r="7">
      <x:c r="A7" s="45" t="str">
        <x:v>공포 파수꾼</x:v>
      </x:c>
      <x:c r="B7" s="46" t="str">
        <x:v>Normal</x:v>
      </x:c>
      <x:c r="C7" s="46" t="str">
        <x:v>DefenseHeavy</x:v>
      </x:c>
      <x:c r="D7" s="46" t="str">
        <x:v>FearThenDarkness</x:v>
      </x:c>
      <x:c r="E7" s="55" t="n">
        <x:v>32</x:v>
      </x:c>
      <x:c r="F7" s="55" t="n">
        <x:v>5</x:v>
      </x:c>
      <x:c r="G7" s="55" t="n">
        <x:v>3</x:v>
      </x:c>
      <x:c r="H7" s="55" t="n">
        <x:v>1</x:v>
      </x:c>
      <x:c r="I7" s="55" t="n">
        <x:v>1</x:v>
      </x:c>
      <x:c r="J7" s="55" t="n">
        <x:v>1</x:v>
      </x:c>
      <x:c r="K7" s="55" t="n">
        <x:v>3</x:v>
      </x:c>
      <x:c r="L7" s="49" t="n">
        <x:f>IF($K7&gt;0,1/$K7,0)</x:f>
        <x:v>0.3333333333333333</x:v>
      </x:c>
      <x:c r="M7" s="49" t="n">
        <x:f>IF($C7="AttackHeavy",Inputs!$B$21/(Inputs!$B$21+Inputs!$B$22),IF($C7="DefenseHeavy",Inputs!$B$23/(Inputs!$B$23+Inputs!$B$24),Inputs!$B$19/(Inputs!$B$19+Inputs!$B$20)))</x:f>
        <x:v>0.2</x:v>
      </x:c>
      <x:c r="N7" s="49" t="n">
        <x:f>1-$M7</x:f>
        <x:v>0.8</x:v>
      </x:c>
      <x:c r="O7" s="47" t="n">
        <x:f>IF($B7="Enhanced",Inputs!$B$18,1)</x:f>
        <x:v>1</x:v>
      </x:c>
      <x:c r="P7" s="47" t="n">
        <x:f>CEILING($F7*$O7,1)</x:f>
        <x:v>5</x:v>
      </x:c>
      <x:c r="Q7" s="47" t="n">
        <x:f>CEILING($G7*$O7,1)</x:f>
        <x:v>3</x:v>
      </x:c>
      <x:c r="R7" s="47" t="n">
        <x:f>CEILING($H7*$O7,1)</x:f>
        <x:v>1</x:v>
      </x:c>
      <x:c r="S7" s="47" t="n">
        <x:f>$P7*$M7*(1-$L7)*$J7</x:f>
        <x:v>0.6666666666666667</x:v>
      </x:c>
      <x:c r="T7" s="47" t="n">
        <x:f>$Q7*$N7*(1-$L7)*$J7</x:f>
        <x:v>1.6000000000000003</x:v>
      </x:c>
      <x:c r="U7" s="47" t="n">
        <x:f>IF($K7&gt;0,$R7/(2*$K7),0)</x:f>
        <x:v>0.16666666666666666</x:v>
      </x:c>
      <x:c r="V7" s="47" t="n">
        <x:f>IF(MAX(Skills!$H$5:$H$10)&gt;0,CEILING($E7/MAX(Skills!$H$5:$H$10),1),"")</x:f>
        <x:v>4</x:v>
      </x:c>
      <x:c r="W7" s="47" t="n">
        <x:f>ROUND(($S7*2)+($T7*0.6)+($E7/8)+($I7*8)+($U7*12),1)</x:f>
        <x:v>16.3</x:v>
      </x:c>
      <x:c r="X7" s="45" t="str"/>
    </x:row>
    <x:row r="8">
      <x:c r="A8" s="45" t="str">
        <x:v>암흑 파수꾼</x:v>
      </x:c>
      <x:c r="B8" s="46" t="str">
        <x:v>Normal</x:v>
      </x:c>
      <x:c r="C8" s="46" t="str">
        <x:v>DefenseHeavy</x:v>
      </x:c>
      <x:c r="D8" s="46" t="str">
        <x:v>DarknessThenFear</x:v>
      </x:c>
      <x:c r="E8" s="55" t="n">
        <x:v>32</x:v>
      </x:c>
      <x:c r="F8" s="55" t="n">
        <x:v>5</x:v>
      </x:c>
      <x:c r="G8" s="55" t="n">
        <x:v>3</x:v>
      </x:c>
      <x:c r="H8" s="55" t="n">
        <x:v>1</x:v>
      </x:c>
      <x:c r="I8" s="55" t="n">
        <x:v>1</x:v>
      </x:c>
      <x:c r="J8" s="55" t="n">
        <x:v>1</x:v>
      </x:c>
      <x:c r="K8" s="55" t="n">
        <x:v>3</x:v>
      </x:c>
      <x:c r="L8" s="49" t="n">
        <x:f>IF($K8&gt;0,1/$K8,0)</x:f>
        <x:v>0.3333333333333333</x:v>
      </x:c>
      <x:c r="M8" s="49" t="n">
        <x:f>IF($C8="AttackHeavy",Inputs!$B$21/(Inputs!$B$21+Inputs!$B$22),IF($C8="DefenseHeavy",Inputs!$B$23/(Inputs!$B$23+Inputs!$B$24),Inputs!$B$19/(Inputs!$B$19+Inputs!$B$20)))</x:f>
        <x:v>0.2</x:v>
      </x:c>
      <x:c r="N8" s="49" t="n">
        <x:f>1-$M8</x:f>
        <x:v>0.8</x:v>
      </x:c>
      <x:c r="O8" s="47" t="n">
        <x:f>IF($B8="Enhanced",Inputs!$B$18,1)</x:f>
        <x:v>1</x:v>
      </x:c>
      <x:c r="P8" s="47" t="n">
        <x:f>CEILING($F8*$O8,1)</x:f>
        <x:v>5</x:v>
      </x:c>
      <x:c r="Q8" s="47" t="n">
        <x:f>CEILING($G8*$O8,1)</x:f>
        <x:v>3</x:v>
      </x:c>
      <x:c r="R8" s="47" t="n">
        <x:f>CEILING($H8*$O8,1)</x:f>
        <x:v>1</x:v>
      </x:c>
      <x:c r="S8" s="47" t="n">
        <x:f>$P8*$M8*(1-$L8)*$J8</x:f>
        <x:v>0.6666666666666667</x:v>
      </x:c>
      <x:c r="T8" s="47" t="n">
        <x:f>$Q8*$N8*(1-$L8)*$J8</x:f>
        <x:v>1.6000000000000003</x:v>
      </x:c>
      <x:c r="U8" s="47" t="n">
        <x:f>IF($K8&gt;0,$R8/(2*$K8),0)</x:f>
        <x:v>0.16666666666666666</x:v>
      </x:c>
      <x:c r="V8" s="47" t="n">
        <x:f>IF(MAX(Skills!$H$5:$H$10)&gt;0,CEILING($E8/MAX(Skills!$H$5:$H$10),1),"")</x:f>
        <x:v>4</x:v>
      </x:c>
      <x:c r="W8" s="47" t="n">
        <x:f>ROUND(($S8*2)+($T8*0.6)+($E8/8)+($I8*8)+($U8*12),1)</x:f>
        <x:v>16.3</x:v>
      </x:c>
      <x:c r="X8" s="45" t="str"/>
    </x:row>
    <x:row r="9">
      <x:c r="A9" s="45" t="str">
        <x:v>황혼 추적자</x:v>
      </x:c>
      <x:c r="B9" s="46" t="str">
        <x:v>Normal</x:v>
      </x:c>
      <x:c r="C9" s="46" t="str">
        <x:v>Balanced</x:v>
      </x:c>
      <x:c r="D9" s="46" t="str">
        <x:v>FearThenDarkness</x:v>
      </x:c>
      <x:c r="E9" s="55" t="n">
        <x:v>32</x:v>
      </x:c>
      <x:c r="F9" s="55" t="n">
        <x:v>5</x:v>
      </x:c>
      <x:c r="G9" s="55" t="n">
        <x:v>3</x:v>
      </x:c>
      <x:c r="H9" s="55" t="n">
        <x:v>1</x:v>
      </x:c>
      <x:c r="I9" s="55" t="n">
        <x:v>1</x:v>
      </x:c>
      <x:c r="J9" s="55" t="n">
        <x:v>1</x:v>
      </x:c>
      <x:c r="K9" s="55" t="n">
        <x:v>3</x:v>
      </x:c>
      <x:c r="L9" s="49" t="n">
        <x:f>IF($K9&gt;0,1/$K9,0)</x:f>
        <x:v>0.3333333333333333</x:v>
      </x:c>
      <x:c r="M9" s="49" t="n">
        <x:f>IF($C9="AttackHeavy",Inputs!$B$21/(Inputs!$B$21+Inputs!$B$22),IF($C9="DefenseHeavy",Inputs!$B$23/(Inputs!$B$23+Inputs!$B$24),Inputs!$B$19/(Inputs!$B$19+Inputs!$B$20)))</x:f>
        <x:v>0.5</x:v>
      </x:c>
      <x:c r="N9" s="49" t="n">
        <x:f>1-$M9</x:f>
        <x:v>0.5</x:v>
      </x:c>
      <x:c r="O9" s="47" t="n">
        <x:f>IF($B9="Enhanced",Inputs!$B$18,1)</x:f>
        <x:v>1</x:v>
      </x:c>
      <x:c r="P9" s="47" t="n">
        <x:f>CEILING($F9*$O9,1)</x:f>
        <x:v>5</x:v>
      </x:c>
      <x:c r="Q9" s="47" t="n">
        <x:f>CEILING($G9*$O9,1)</x:f>
        <x:v>3</x:v>
      </x:c>
      <x:c r="R9" s="47" t="n">
        <x:f>CEILING($H9*$O9,1)</x:f>
        <x:v>1</x:v>
      </x:c>
      <x:c r="S9" s="47" t="n">
        <x:f>$P9*$M9*(1-$L9)*$J9</x:f>
        <x:v>1.666666666666667</x:v>
      </x:c>
      <x:c r="T9" s="47" t="n">
        <x:f>$Q9*$N9*(1-$L9)*$J9</x:f>
        <x:v>1</x:v>
      </x:c>
      <x:c r="U9" s="47" t="n">
        <x:f>IF($K9&gt;0,$R9/(2*$K9),0)</x:f>
        <x:v>0.16666666666666666</x:v>
      </x:c>
      <x:c r="V9" s="47" t="n">
        <x:f>IF(MAX(Skills!$H$5:$H$10)&gt;0,CEILING($E9/MAX(Skills!$H$5:$H$10),1),"")</x:f>
        <x:v>4</x:v>
      </x:c>
      <x:c r="W9" s="47" t="n">
        <x:f>ROUND(($S9*2)+($T9*0.6)+($E9/8)+($I9*8)+($U9*12),1)</x:f>
        <x:v>17.9</x:v>
      </x:c>
      <x:c r="X9" s="45" t="str"/>
    </x:row>
    <x:row r="10">
      <x:c r="A10" s="45" t="str">
        <x:v>그림자 추적자</x:v>
      </x:c>
      <x:c r="B10" s="46" t="str">
        <x:v>Normal</x:v>
      </x:c>
      <x:c r="C10" s="46" t="str">
        <x:v>Balanced</x:v>
      </x:c>
      <x:c r="D10" s="46" t="str">
        <x:v>DarknessThenFear</x:v>
      </x:c>
      <x:c r="E10" s="55" t="n">
        <x:v>32</x:v>
      </x:c>
      <x:c r="F10" s="55" t="n">
        <x:v>5</x:v>
      </x:c>
      <x:c r="G10" s="55" t="n">
        <x:v>3</x:v>
      </x:c>
      <x:c r="H10" s="55" t="n">
        <x:v>1</x:v>
      </x:c>
      <x:c r="I10" s="55" t="n">
        <x:v>1</x:v>
      </x:c>
      <x:c r="J10" s="55" t="n">
        <x:v>1</x:v>
      </x:c>
      <x:c r="K10" s="55" t="n">
        <x:v>3</x:v>
      </x:c>
      <x:c r="L10" s="49" t="n">
        <x:f>IF($K10&gt;0,1/$K10,0)</x:f>
        <x:v>0.3333333333333333</x:v>
      </x:c>
      <x:c r="M10" s="49" t="n">
        <x:f>IF($C10="AttackHeavy",Inputs!$B$21/(Inputs!$B$21+Inputs!$B$22),IF($C10="DefenseHeavy",Inputs!$B$23/(Inputs!$B$23+Inputs!$B$24),Inputs!$B$19/(Inputs!$B$19+Inputs!$B$20)))</x:f>
        <x:v>0.5</x:v>
      </x:c>
      <x:c r="N10" s="49" t="n">
        <x:f>1-$M10</x:f>
        <x:v>0.5</x:v>
      </x:c>
      <x:c r="O10" s="47" t="n">
        <x:f>IF($B10="Enhanced",Inputs!$B$18,1)</x:f>
        <x:v>1</x:v>
      </x:c>
      <x:c r="P10" s="47" t="n">
        <x:f>CEILING($F10*$O10,1)</x:f>
        <x:v>5</x:v>
      </x:c>
      <x:c r="Q10" s="47" t="n">
        <x:f>CEILING($G10*$O10,1)</x:f>
        <x:v>3</x:v>
      </x:c>
      <x:c r="R10" s="47" t="n">
        <x:f>CEILING($H10*$O10,1)</x:f>
        <x:v>1</x:v>
      </x:c>
      <x:c r="S10" s="47" t="n">
        <x:f>$P10*$M10*(1-$L10)*$J10</x:f>
        <x:v>1.666666666666667</x:v>
      </x:c>
      <x:c r="T10" s="47" t="n">
        <x:f>$Q10*$N10*(1-$L10)*$J10</x:f>
        <x:v>1</x:v>
      </x:c>
      <x:c r="U10" s="47" t="n">
        <x:f>IF($K10&gt;0,$R10/(2*$K10),0)</x:f>
        <x:v>0.16666666666666666</x:v>
      </x:c>
      <x:c r="V10" s="47" t="n">
        <x:f>IF(MAX(Skills!$H$5:$H$10)&gt;0,CEILING($E10/MAX(Skills!$H$5:$H$10),1),"")</x:f>
        <x:v>4</x:v>
      </x:c>
      <x:c r="W10" s="47" t="n">
        <x:f>ROUND(($S10*2)+($T10*0.6)+($E10/8)+($I10*8)+($U10*12),1)</x:f>
        <x:v>17.9</x:v>
      </x:c>
      <x:c r="X10" s="45" t="str"/>
    </x:row>
    <x:row r="11">
      <x:c r="A11" s="45" t="str">
        <x:v>분노의 발톱</x:v>
      </x:c>
      <x:c r="B11" s="46" t="str">
        <x:v>Normal</x:v>
      </x:c>
      <x:c r="C11" s="46" t="str">
        <x:v>AttackHeavy</x:v>
      </x:c>
      <x:c r="D11" s="46" t="str">
        <x:v>FearThenDarkness</x:v>
      </x:c>
      <x:c r="E11" s="55" t="n">
        <x:v>32</x:v>
      </x:c>
      <x:c r="F11" s="55" t="n">
        <x:v>5</x:v>
      </x:c>
      <x:c r="G11" s="55" t="n">
        <x:v>3</x:v>
      </x:c>
      <x:c r="H11" s="55" t="n">
        <x:v>1</x:v>
      </x:c>
      <x:c r="I11" s="55" t="n">
        <x:v>1</x:v>
      </x:c>
      <x:c r="J11" s="55" t="n">
        <x:v>1</x:v>
      </x:c>
      <x:c r="K11" s="55" t="n">
        <x:v>3</x:v>
      </x:c>
      <x:c r="L11" s="49" t="n">
        <x:f>IF($K11&gt;0,1/$K11,0)</x:f>
        <x:v>0.3333333333333333</x:v>
      </x:c>
      <x:c r="M11" s="49" t="n">
        <x:f>IF($C11="AttackHeavy",Inputs!$B$21/(Inputs!$B$21+Inputs!$B$22),IF($C11="DefenseHeavy",Inputs!$B$23/(Inputs!$B$23+Inputs!$B$24),Inputs!$B$19/(Inputs!$B$19+Inputs!$B$20)))</x:f>
        <x:v>0.8</x:v>
      </x:c>
      <x:c r="N11" s="49" t="n">
        <x:f>1-$M11</x:f>
        <x:v>0.19999999999999996</x:v>
      </x:c>
      <x:c r="O11" s="47" t="n">
        <x:f>IF($B11="Enhanced",Inputs!$B$18,1)</x:f>
        <x:v>1</x:v>
      </x:c>
      <x:c r="P11" s="47" t="n">
        <x:f>CEILING($F11*$O11,1)</x:f>
        <x:v>5</x:v>
      </x:c>
      <x:c r="Q11" s="47" t="n">
        <x:f>CEILING($G11*$O11,1)</x:f>
        <x:v>3</x:v>
      </x:c>
      <x:c r="R11" s="47" t="n">
        <x:f>CEILING($H11*$O11,1)</x:f>
        <x:v>1</x:v>
      </x:c>
      <x:c r="S11" s="47" t="n">
        <x:f>$P11*$M11*(1-$L11)*$J11</x:f>
        <x:v>2.666666666666667</x:v>
      </x:c>
      <x:c r="T11" s="47" t="n">
        <x:f>$Q11*$N11*(1-$L11)*$J11</x:f>
        <x:v>0.39999999999999997</x:v>
      </x:c>
      <x:c r="U11" s="47" t="n">
        <x:f>IF($K11&gt;0,$R11/(2*$K11),0)</x:f>
        <x:v>0.16666666666666666</x:v>
      </x:c>
      <x:c r="V11" s="47" t="n">
        <x:f>IF(MAX(Skills!$H$5:$H$10)&gt;0,CEILING($E11/MAX(Skills!$H$5:$H$10),1),"")</x:f>
        <x:v>4</x:v>
      </x:c>
      <x:c r="W11" s="47" t="n">
        <x:f>ROUND(($S11*2)+($T11*0.6)+($E11/8)+($I11*8)+($U11*12),1)</x:f>
        <x:v>19.6</x:v>
      </x:c>
      <x:c r="X11" s="45" t="str"/>
    </x:row>
    <x:row r="12">
      <x:c r="A12" s="45" t="str">
        <x:v>칠흑 방패</x:v>
      </x:c>
      <x:c r="B12" s="46" t="str">
        <x:v>Normal</x:v>
      </x:c>
      <x:c r="C12" s="46" t="str">
        <x:v>DefenseHeavy</x:v>
      </x:c>
      <x:c r="D12" s="46" t="str">
        <x:v>DarknessThenFear</x:v>
      </x:c>
      <x:c r="E12" s="55" t="n">
        <x:v>32</x:v>
      </x:c>
      <x:c r="F12" s="55" t="n">
        <x:v>5</x:v>
      </x:c>
      <x:c r="G12" s="55" t="n">
        <x:v>3</x:v>
      </x:c>
      <x:c r="H12" s="55" t="n">
        <x:v>1</x:v>
      </x:c>
      <x:c r="I12" s="55" t="n">
        <x:v>1</x:v>
      </x:c>
      <x:c r="J12" s="55" t="n">
        <x:v>1</x:v>
      </x:c>
      <x:c r="K12" s="55" t="n">
        <x:v>3</x:v>
      </x:c>
      <x:c r="L12" s="49" t="n">
        <x:f>IF($K12&gt;0,1/$K12,0)</x:f>
        <x:v>0.3333333333333333</x:v>
      </x:c>
      <x:c r="M12" s="49" t="n">
        <x:f>IF($C12="AttackHeavy",Inputs!$B$21/(Inputs!$B$21+Inputs!$B$22),IF($C12="DefenseHeavy",Inputs!$B$23/(Inputs!$B$23+Inputs!$B$24),Inputs!$B$19/(Inputs!$B$19+Inputs!$B$20)))</x:f>
        <x:v>0.2</x:v>
      </x:c>
      <x:c r="N12" s="49" t="n">
        <x:f>1-$M12</x:f>
        <x:v>0.8</x:v>
      </x:c>
      <x:c r="O12" s="47" t="n">
        <x:f>IF($B12="Enhanced",Inputs!$B$18,1)</x:f>
        <x:v>1</x:v>
      </x:c>
      <x:c r="P12" s="47" t="n">
        <x:f>CEILING($F12*$O12,1)</x:f>
        <x:v>5</x:v>
      </x:c>
      <x:c r="Q12" s="47" t="n">
        <x:f>CEILING($G12*$O12,1)</x:f>
        <x:v>3</x:v>
      </x:c>
      <x:c r="R12" s="47" t="n">
        <x:f>CEILING($H12*$O12,1)</x:f>
        <x:v>1</x:v>
      </x:c>
      <x:c r="S12" s="47" t="n">
        <x:f>$P12*$M12*(1-$L12)*$J12</x:f>
        <x:v>0.6666666666666667</x:v>
      </x:c>
      <x:c r="T12" s="47" t="n">
        <x:f>$Q12*$N12*(1-$L12)*$J12</x:f>
        <x:v>1.6000000000000003</x:v>
      </x:c>
      <x:c r="U12" s="47" t="n">
        <x:f>IF($K12&gt;0,$R12/(2*$K12),0)</x:f>
        <x:v>0.16666666666666666</x:v>
      </x:c>
      <x:c r="V12" s="47" t="n">
        <x:f>IF(MAX(Skills!$H$5:$H$10)&gt;0,CEILING($E12/MAX(Skills!$H$5:$H$10),1),"")</x:f>
        <x:v>4</x:v>
      </x:c>
      <x:c r="W12" s="47" t="n">
        <x:f>ROUND(($S12*2)+($T12*0.6)+($E12/8)+($I12*8)+($U12*12),1)</x:f>
        <x:v>16.3</x:v>
      </x:c>
      <x:c r="X12" s="45" t="str"/>
    </x:row>
    <x:row r="13">
      <x:c r="A13" s="45" t="str">
        <x:v>강화 붉은 송곳니</x:v>
      </x:c>
      <x:c r="B13" s="46" t="str">
        <x:v>Enhanced</x:v>
      </x:c>
      <x:c r="C13" s="46" t="str">
        <x:v>AttackHeavy</x:v>
      </x:c>
      <x:c r="D13" s="46" t="str">
        <x:v>FearThenDarkness</x:v>
      </x:c>
      <x:c r="E13" s="55" t="n">
        <x:v>40</x:v>
      </x:c>
      <x:c r="F13" s="55" t="n">
        <x:v>6</x:v>
      </x:c>
      <x:c r="G13" s="55" t="n">
        <x:v>4</x:v>
      </x:c>
      <x:c r="H13" s="55" t="n">
        <x:v>1</x:v>
      </x:c>
      <x:c r="I13" s="55" t="n">
        <x:v>2</x:v>
      </x:c>
      <x:c r="J13" s="55" t="n">
        <x:v>1</x:v>
      </x:c>
      <x:c r="K13" s="55" t="n">
        <x:v>3</x:v>
      </x:c>
      <x:c r="L13" s="49" t="n">
        <x:f>IF($K13&gt;0,1/$K13,0)</x:f>
        <x:v>0.3333333333333333</x:v>
      </x:c>
      <x:c r="M13" s="49" t="n">
        <x:f>IF($C13="AttackHeavy",Inputs!$B$21/(Inputs!$B$21+Inputs!$B$22),IF($C13="DefenseHeavy",Inputs!$B$23/(Inputs!$B$23+Inputs!$B$24),Inputs!$B$19/(Inputs!$B$19+Inputs!$B$20)))</x:f>
        <x:v>0.8</x:v>
      </x:c>
      <x:c r="N13" s="49" t="n">
        <x:f>1-$M13</x:f>
        <x:v>0.19999999999999996</x:v>
      </x:c>
      <x:c r="O13" s="47" t="n">
        <x:f>IF($B13="Enhanced",Inputs!$B$18,1)</x:f>
        <x:v>1.5</x:v>
      </x:c>
      <x:c r="P13" s="47" t="n">
        <x:f>CEILING($F13*$O13,1)</x:f>
        <x:v>9</x:v>
      </x:c>
      <x:c r="Q13" s="47" t="n">
        <x:f>CEILING($G13*$O13,1)</x:f>
        <x:v>6</x:v>
      </x:c>
      <x:c r="R13" s="47" t="n">
        <x:f>CEILING($H13*$O13,1)</x:f>
        <x:v>2</x:v>
      </x:c>
      <x:c r="S13" s="47" t="n">
        <x:f>$P13*$M13*(1-$L13)*$J13</x:f>
        <x:v>4.800000000000001</x:v>
      </x:c>
      <x:c r="T13" s="47" t="n">
        <x:f>$Q13*$N13*(1-$L13)*$J13</x:f>
        <x:v>0.7999999999999999</x:v>
      </x:c>
      <x:c r="U13" s="47" t="n">
        <x:f>IF($K13&gt;0,$R13/(2*$K13),0)</x:f>
        <x:v>0.3333333333333333</x:v>
      </x:c>
      <x:c r="V13" s="47" t="n">
        <x:f>IF(MAX(Skills!$H$5:$H$10)&gt;0,CEILING($E13/MAX(Skills!$H$5:$H$10),1),"")</x:f>
        <x:v>4</x:v>
      </x:c>
      <x:c r="W13" s="47" t="n">
        <x:f>ROUND(($S13*2)+($T13*0.6)+($E13/8)+($I13*8)+($U13*12),1)</x:f>
        <x:v>35.1</x:v>
      </x:c>
      <x:c r="X13" s="45" t="str"/>
    </x:row>
    <x:row r="14">
      <x:c r="A14" s="45" t="str">
        <x:v>강화 검은 송곳니</x:v>
      </x:c>
      <x:c r="B14" s="46" t="str">
        <x:v>Enhanced</x:v>
      </x:c>
      <x:c r="C14" s="46" t="str">
        <x:v>AttackHeavy</x:v>
      </x:c>
      <x:c r="D14" s="46" t="str">
        <x:v>DarknessThenFear</x:v>
      </x:c>
      <x:c r="E14" s="55" t="n">
        <x:v>40</x:v>
      </x:c>
      <x:c r="F14" s="55" t="n">
        <x:v>6</x:v>
      </x:c>
      <x:c r="G14" s="55" t="n">
        <x:v>4</x:v>
      </x:c>
      <x:c r="H14" s="55" t="n">
        <x:v>1</x:v>
      </x:c>
      <x:c r="I14" s="55" t="n">
        <x:v>2</x:v>
      </x:c>
      <x:c r="J14" s="55" t="n">
        <x:v>1</x:v>
      </x:c>
      <x:c r="K14" s="55" t="n">
        <x:v>3</x:v>
      </x:c>
      <x:c r="L14" s="49" t="n">
        <x:f>IF($K14&gt;0,1/$K14,0)</x:f>
        <x:v>0.3333333333333333</x:v>
      </x:c>
      <x:c r="M14" s="49" t="n">
        <x:f>IF($C14="AttackHeavy",Inputs!$B$21/(Inputs!$B$21+Inputs!$B$22),IF($C14="DefenseHeavy",Inputs!$B$23/(Inputs!$B$23+Inputs!$B$24),Inputs!$B$19/(Inputs!$B$19+Inputs!$B$20)))</x:f>
        <x:v>0.8</x:v>
      </x:c>
      <x:c r="N14" s="49" t="n">
        <x:f>1-$M14</x:f>
        <x:v>0.19999999999999996</x:v>
      </x:c>
      <x:c r="O14" s="47" t="n">
        <x:f>IF($B14="Enhanced",Inputs!$B$18,1)</x:f>
        <x:v>1.5</x:v>
      </x:c>
      <x:c r="P14" s="47" t="n">
        <x:f>CEILING($F14*$O14,1)</x:f>
        <x:v>9</x:v>
      </x:c>
      <x:c r="Q14" s="47" t="n">
        <x:f>CEILING($G14*$O14,1)</x:f>
        <x:v>6</x:v>
      </x:c>
      <x:c r="R14" s="47" t="n">
        <x:f>CEILING($H14*$O14,1)</x:f>
        <x:v>2</x:v>
      </x:c>
      <x:c r="S14" s="47" t="n">
        <x:f>$P14*$M14*(1-$L14)*$J14</x:f>
        <x:v>4.800000000000001</x:v>
      </x:c>
      <x:c r="T14" s="47" t="n">
        <x:f>$Q14*$N14*(1-$L14)*$J14</x:f>
        <x:v>0.7999999999999999</x:v>
      </x:c>
      <x:c r="U14" s="47" t="n">
        <x:f>IF($K14&gt;0,$R14/(2*$K14),0)</x:f>
        <x:v>0.3333333333333333</x:v>
      </x:c>
      <x:c r="V14" s="47" t="n">
        <x:f>IF(MAX(Skills!$H$5:$H$10)&gt;0,CEILING($E14/MAX(Skills!$H$5:$H$10),1),"")</x:f>
        <x:v>4</x:v>
      </x:c>
      <x:c r="W14" s="47" t="n">
        <x:f>ROUND(($S14*2)+($T14*0.6)+($E14/8)+($I14*8)+($U14*12),1)</x:f>
        <x:v>35.1</x:v>
      </x:c>
      <x:c r="X14" s="45" t="str"/>
    </x:row>
    <x:row r="15">
      <x:c r="A15" s="45" t="str">
        <x:v>강화 공포 파수꾼</x:v>
      </x:c>
      <x:c r="B15" s="46" t="str">
        <x:v>Enhanced</x:v>
      </x:c>
      <x:c r="C15" s="46" t="str">
        <x:v>DefenseHeavy</x:v>
      </x:c>
      <x:c r="D15" s="46" t="str">
        <x:v>FearThenDarkness</x:v>
      </x:c>
      <x:c r="E15" s="55" t="n">
        <x:v>40</x:v>
      </x:c>
      <x:c r="F15" s="55" t="n">
        <x:v>6</x:v>
      </x:c>
      <x:c r="G15" s="55" t="n">
        <x:v>4</x:v>
      </x:c>
      <x:c r="H15" s="55" t="n">
        <x:v>1</x:v>
      </x:c>
      <x:c r="I15" s="55" t="n">
        <x:v>2</x:v>
      </x:c>
      <x:c r="J15" s="55" t="n">
        <x:v>1</x:v>
      </x:c>
      <x:c r="K15" s="55" t="n">
        <x:v>3</x:v>
      </x:c>
      <x:c r="L15" s="49" t="n">
        <x:f>IF($K15&gt;0,1/$K15,0)</x:f>
        <x:v>0.3333333333333333</x:v>
      </x:c>
      <x:c r="M15" s="49" t="n">
        <x:f>IF($C15="AttackHeavy",Inputs!$B$21/(Inputs!$B$21+Inputs!$B$22),IF($C15="DefenseHeavy",Inputs!$B$23/(Inputs!$B$23+Inputs!$B$24),Inputs!$B$19/(Inputs!$B$19+Inputs!$B$20)))</x:f>
        <x:v>0.2</x:v>
      </x:c>
      <x:c r="N15" s="49" t="n">
        <x:f>1-$M15</x:f>
        <x:v>0.8</x:v>
      </x:c>
      <x:c r="O15" s="47" t="n">
        <x:f>IF($B15="Enhanced",Inputs!$B$18,1)</x:f>
        <x:v>1.5</x:v>
      </x:c>
      <x:c r="P15" s="47" t="n">
        <x:f>CEILING($F15*$O15,1)</x:f>
        <x:v>9</x:v>
      </x:c>
      <x:c r="Q15" s="47" t="n">
        <x:f>CEILING($G15*$O15,1)</x:f>
        <x:v>6</x:v>
      </x:c>
      <x:c r="R15" s="47" t="n">
        <x:f>CEILING($H15*$O15,1)</x:f>
        <x:v>2</x:v>
      </x:c>
      <x:c r="S15" s="47" t="n">
        <x:f>$P15*$M15*(1-$L15)*$J15</x:f>
        <x:v>1.2000000000000002</x:v>
      </x:c>
      <x:c r="T15" s="47" t="n">
        <x:f>$Q15*$N15*(1-$L15)*$J15</x:f>
        <x:v>3.2000000000000006</x:v>
      </x:c>
      <x:c r="U15" s="47" t="n">
        <x:f>IF($K15&gt;0,$R15/(2*$K15),0)</x:f>
        <x:v>0.3333333333333333</x:v>
      </x:c>
      <x:c r="V15" s="47" t="n">
        <x:f>IF(MAX(Skills!$H$5:$H$10)&gt;0,CEILING($E15/MAX(Skills!$H$5:$H$10),1),"")</x:f>
        <x:v>4</x:v>
      </x:c>
      <x:c r="W15" s="47" t="n">
        <x:f>ROUND(($S15*2)+($T15*0.6)+($E15/8)+($I15*8)+($U15*12),1)</x:f>
        <x:v>29.3</x:v>
      </x:c>
      <x:c r="X15" s="45" t="str"/>
    </x:row>
    <x:row r="16">
      <x:c r="A16" s="45" t="str">
        <x:v>강화 그림자 추적자</x:v>
      </x:c>
      <x:c r="B16" s="46" t="str">
        <x:v>Enhanced</x:v>
      </x:c>
      <x:c r="C16" s="46" t="str">
        <x:v>Balanced</x:v>
      </x:c>
      <x:c r="D16" s="46" t="str">
        <x:v>DarknessThenFear</x:v>
      </x:c>
      <x:c r="E16" s="55" t="n">
        <x:v>40</x:v>
      </x:c>
      <x:c r="F16" s="55" t="n">
        <x:v>6</x:v>
      </x:c>
      <x:c r="G16" s="55" t="n">
        <x:v>4</x:v>
      </x:c>
      <x:c r="H16" s="55" t="n">
        <x:v>1</x:v>
      </x:c>
      <x:c r="I16" s="55" t="n">
        <x:v>2</x:v>
      </x:c>
      <x:c r="J16" s="55" t="n">
        <x:v>1</x:v>
      </x:c>
      <x:c r="K16" s="55" t="n">
        <x:v>3</x:v>
      </x:c>
      <x:c r="L16" s="49" t="n">
        <x:f>IF($K16&gt;0,1/$K16,0)</x:f>
        <x:v>0.3333333333333333</x:v>
      </x:c>
      <x:c r="M16" s="49" t="n">
        <x:f>IF($C16="AttackHeavy",Inputs!$B$21/(Inputs!$B$21+Inputs!$B$22),IF($C16="DefenseHeavy",Inputs!$B$23/(Inputs!$B$23+Inputs!$B$24),Inputs!$B$19/(Inputs!$B$19+Inputs!$B$20)))</x:f>
        <x:v>0.5</x:v>
      </x:c>
      <x:c r="N16" s="49" t="n">
        <x:f>1-$M16</x:f>
        <x:v>0.5</x:v>
      </x:c>
      <x:c r="O16" s="47" t="n">
        <x:f>IF($B16="Enhanced",Inputs!$B$18,1)</x:f>
        <x:v>1.5</x:v>
      </x:c>
      <x:c r="P16" s="47" t="n">
        <x:f>CEILING($F16*$O16,1)</x:f>
        <x:v>9</x:v>
      </x:c>
      <x:c r="Q16" s="47" t="n">
        <x:f>CEILING($G16*$O16,1)</x:f>
        <x:v>6</x:v>
      </x:c>
      <x:c r="R16" s="47" t="n">
        <x:f>CEILING($H16*$O16,1)</x:f>
        <x:v>2</x:v>
      </x:c>
      <x:c r="S16" s="47" t="n">
        <x:f>$P16*$M16*(1-$L16)*$J16</x:f>
        <x:v>3.0000000000000004</x:v>
      </x:c>
      <x:c r="T16" s="47" t="n">
        <x:f>$Q16*$N16*(1-$L16)*$J16</x:f>
        <x:v>2</x:v>
      </x:c>
      <x:c r="U16" s="47" t="n">
        <x:f>IF($K16&gt;0,$R16/(2*$K16),0)</x:f>
        <x:v>0.3333333333333333</x:v>
      </x:c>
      <x:c r="V16" s="47" t="n">
        <x:f>IF(MAX(Skills!$H$5:$H$10)&gt;0,CEILING($E16/MAX(Skills!$H$5:$H$10),1),"")</x:f>
        <x:v>4</x:v>
      </x:c>
      <x:c r="W16" s="47" t="n">
        <x:f>ROUND(($S16*2)+($T16*0.6)+($E16/8)+($I16*8)+($U16*12),1)</x:f>
        <x:v>32.2</x:v>
      </x:c>
      <x:c r="X16" s="45" t="str"/>
    </x:row>
  </x:sheetData>
  <x:mergeCells>
    <x:mergeCell ref="A1:X1"/>
    <x:mergeCell ref="A2:H2"/>
  </x:mergeCells>
  <x:conditionalFormatting sqref="W5:W16">
    <x:cfRule type="colorScale" priority="1">
      <x:colorScale>
        <x:cfvo type="min"/>
        <x:cfvo type="percentile" val="50"/>
        <x:cfvo type="max"/>
        <x:color rgb="DFF4E7"/>
        <x:color rgb="FFF3BF"/>
        <x:color rgb="F4B6B6"/>
      </x:colorScale>
    </x:cfRule>
  </x:conditionalFormatting>
  <x:dataValidations count="3">
    <x:dataValidation type="list" sqref="B5:B40">
      <x:formula1>Lists!$D$2:$D$3</x:formula1>
    </x:dataValidation>
    <x:dataValidation type="list" sqref="C5:C40">
      <x:formula1>Lists!$B$2:$B$4</x:formula1>
    </x:dataValidation>
    <x:dataValidation type="list" sqref="D5:D40">
      <x:formula1>Lists!$C$2:$C$3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a979708e00f4bb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.079999923706055" hidden="0" customWidth="1"/>
    <x:col min="2" max="2" width="19.520000457763672" hidden="0" customWidth="1"/>
    <x:col min="3" max="3" width="12.109999656677246" hidden="0" customWidth="1"/>
    <x:col min="4" max="4" width="12.109999656677246" hidden="0" customWidth="1"/>
    <x:col min="5" max="5" width="10.09000015258789" hidden="0" customWidth="1"/>
    <x:col min="6" max="6" width="16.149999618530273" hidden="0" customWidth="1"/>
    <x:col min="7" max="7" width="16.149999618530273" hidden="0" customWidth="1"/>
    <x:col min="8" max="8" width="10.09000015258789" hidden="0" customWidth="1"/>
    <x:col min="9" max="9" width="12.109999656677246" hidden="0" customWidth="1"/>
    <x:col min="10" max="10" width="11.4399995803833" hidden="0" customWidth="1"/>
    <x:col min="11" max="11" width="15.479999542236328" hidden="0" customWidth="1"/>
    <x:col min="12" max="12" width="15.479999542236328" hidden="0" customWidth="1"/>
    <x:col min="13" max="13" width="15.479999542236328" hidden="0" customWidth="1"/>
    <x:col min="14" max="14" width="10.09000015258789" hidden="0" customWidth="1"/>
    <x:col min="15" max="15" width="10.770000457763672" hidden="0" customWidth="1"/>
    <x:col min="16" max="16" width="11.4399995803833" hidden="0" customWidth="1"/>
    <x:col min="17" max="17" width="34.31999969482422" hidden="0" customWidth="1"/>
  </x:cols>
  <x:sheetData>
    <x:row r="1" ht="25.5" customHeight="1">
      <x:c r="A1" s="61" t="str">
        <x:v>전투 시뮬레이션</x:v>
      </x:c>
      <x:c r="B1" s="61" t="str">
        <x:v>전투 시뮬레이션</x:v>
      </x:c>
      <x:c r="C1" s="61" t="str">
        <x:v>전투 시뮬레이션</x:v>
      </x:c>
      <x:c r="D1" s="61" t="str">
        <x:v>전투 시뮬레이션</x:v>
      </x:c>
      <x:c r="E1" s="61" t="str">
        <x:v>전투 시뮬레이션</x:v>
      </x:c>
      <x:c r="F1" s="61" t="str">
        <x:v>전투 시뮬레이션</x:v>
      </x:c>
      <x:c r="G1" s="61" t="str">
        <x:v>전투 시뮬레이션</x:v>
      </x:c>
      <x:c r="H1" s="61" t="str">
        <x:v>전투 시뮬레이션</x:v>
      </x:c>
      <x:c r="I1" s="61" t="str">
        <x:v>전투 시뮬레이션</x:v>
      </x:c>
      <x:c r="J1" s="61" t="str">
        <x:v>전투 시뮬레이션</x:v>
      </x:c>
      <x:c r="K1" s="61" t="str">
        <x:v>전투 시뮬레이션</x:v>
      </x:c>
      <x:c r="L1" s="61" t="str">
        <x:v>전투 시뮬레이션</x:v>
      </x:c>
      <x:c r="M1" s="61" t="str">
        <x:v>전투 시뮬레이션</x:v>
      </x:c>
      <x:c r="N1" s="61" t="str">
        <x:v>전투 시뮬레이션</x:v>
      </x:c>
      <x:c r="O1" s="61" t="str">
        <x:v>전투 시뮬레이션</x:v>
      </x:c>
      <x:c r="P1" s="61" t="str">
        <x:v>전투 시뮬레이션</x:v>
      </x:c>
      <x:c r="Q1" s="61" t="str">
        <x:v>전투 시뮬레이션</x:v>
      </x:c>
    </x:row>
    <x:row r="2" ht="19.5" customHeight="1">
      <x:c r="A2" s="41" t="str">
        <x:v>스테이지별 적, 사용 스킬, 예상 턴 수를 바꾸면 점수와 생존 위험도가 자동 계산됩니다.</x:v>
      </x:c>
      <x:c r="B2" s="41" t="str">
        <x:v>스테이지별 적, 사용 스킬, 예상 턴 수를 바꾸면 점수와 생존 위험도가 자동 계산됩니다.</x:v>
      </x:c>
      <x:c r="C2" s="41" t="str">
        <x:v>스테이지별 적, 사용 스킬, 예상 턴 수를 바꾸면 점수와 생존 위험도가 자동 계산됩니다.</x:v>
      </x:c>
      <x:c r="D2" s="41" t="str">
        <x:v>스테이지별 적, 사용 스킬, 예상 턴 수를 바꾸면 점수와 생존 위험도가 자동 계산됩니다.</x:v>
      </x:c>
      <x:c r="E2" s="41" t="str">
        <x:v>스테이지별 적, 사용 스킬, 예상 턴 수를 바꾸면 점수와 생존 위험도가 자동 계산됩니다.</x:v>
      </x:c>
      <x:c r="F2" s="41" t="str">
        <x:v>스테이지별 적, 사용 스킬, 예상 턴 수를 바꾸면 점수와 생존 위험도가 자동 계산됩니다.</x:v>
      </x:c>
      <x:c r="G2" s="41" t="str">
        <x:v>스테이지별 적, 사용 스킬, 예상 턴 수를 바꾸면 점수와 생존 위험도가 자동 계산됩니다.</x:v>
      </x:c>
      <x:c r="H2" s="41" t="str">
        <x:v>스테이지별 적, 사용 스킬, 예상 턴 수를 바꾸면 점수와 생존 위험도가 자동 계산됩니다.</x:v>
      </x:c>
      <x:c r="I2" s="51"/>
      <x:c r="J2" s="51"/>
      <x:c r="K2" s="51"/>
      <x:c r="L2" s="51"/>
      <x:c r="M2" s="51"/>
      <x:c r="N2" s="51"/>
      <x:c r="O2" s="51"/>
      <x:c r="P2" s="51"/>
      <x:c r="Q2" s="51"/>
    </x:row>
    <x:row r="3">
      <x:c r="A3" s="51"/>
      <x:c r="B3" s="51"/>
      <x:c r="C3" s="51"/>
      <x:c r="D3" s="51"/>
      <x:c r="E3" s="51"/>
      <x:c r="F3" s="51"/>
      <x:c r="G3" s="51"/>
      <x:c r="H3" s="51"/>
      <x:c r="I3" s="51"/>
      <x:c r="J3" s="51"/>
      <x:c r="K3" s="51"/>
      <x:c r="L3" s="51"/>
      <x:c r="M3" s="51"/>
      <x:c r="N3" s="51"/>
      <x:c r="O3" s="51"/>
      <x:c r="P3" s="51"/>
      <x:c r="Q3" s="51"/>
    </x:row>
    <x:row r="4">
      <x:c r="A4" s="50" t="str">
        <x:v>Stage</x:v>
      </x:c>
      <x:c r="B4" s="50" t="str">
        <x:v>Enemy</x:v>
      </x:c>
      <x:c r="C4" s="50" t="str">
        <x:v>Planned Turns</x:v>
      </x:c>
      <x:c r="D4" s="50" t="str">
        <x:v>Remaining Moves</x:v>
      </x:c>
      <x:c r="E4" s="50" t="str">
        <x:v>OverCost</x:v>
      </x:c>
      <x:c r="F4" s="50" t="str">
        <x:v>Main Attack Skill</x:v>
      </x:c>
      <x:c r="G4" s="50" t="str">
        <x:v>Main Defense Skill</x:v>
      </x:c>
      <x:c r="H4" s="50" t="str">
        <x:v>Enemy HP</x:v>
      </x:c>
      <x:c r="I4" s="50" t="str">
        <x:v>Attack Damage</x:v>
      </x:c>
      <x:c r="J4" s="50" t="str">
        <x:v>Hits Needed</x:v>
      </x:c>
      <x:c r="K4" s="50" t="str">
        <x:v>Enemy Exp Atk</x:v>
      </x:c>
      <x:c r="L4" s="50" t="str">
        <x:v>Block / Turn</x:v>
      </x:c>
      <x:c r="M4" s="50" t="str">
        <x:v>Expected Net Damage</x:v>
      </x:c>
      <x:c r="N4" s="50" t="str">
        <x:v>HP Risk</x:v>
      </x:c>
      <x:c r="O4" s="50" t="str">
        <x:v>Score</x:v>
      </x:c>
      <x:c r="P4" s="50" t="str">
        <x:v>Status</x:v>
      </x:c>
      <x:c r="Q4" s="50" t="str">
        <x:v>Notes</x:v>
      </x:c>
    </x:row>
    <x:row r="5">
      <x:c r="A5" s="48" t="n">
        <x:v>1</x:v>
      </x:c>
      <x:c r="B5" s="55" t="str">
        <x:v>붉은 송곳니</x:v>
      </x:c>
      <x:c r="C5" s="55" t="n">
        <x:v>6</x:v>
      </x:c>
      <x:c r="D5" s="55" t="n">
        <x:v>0</x:v>
      </x:c>
      <x:c r="E5" s="55" t="n">
        <x:v>0</x:v>
      </x:c>
      <x:c r="F5" s="46" t="str">
        <x:v>2단계 공격</x:v>
      </x:c>
      <x:c r="G5" s="46" t="str">
        <x:v>2단계 방어</x:v>
      </x:c>
      <x:c r="H5" s="47" t="n">
        <x:f>IFERROR(INDEX(Enemies!$E$5:$E$16,MATCH($B5,Enemies!$A$5:$A$16,0)),"")</x:f>
        <x:v>32</x:v>
      </x:c>
      <x:c r="I5" s="47" t="n">
        <x:f>IFERROR(INDEX(Skills!$H$5:$H$10,MATCH($F5,Skills!$B$5:$B$10,0)),0)</x:f>
        <x:v>6</x:v>
      </x:c>
      <x:c r="J5" s="47" t="n">
        <x:f>IF(OR($H5="",$I5&lt;=0),"",CEILING($H5/$I5,1))</x:f>
        <x:v>6</x:v>
      </x:c>
      <x:c r="K5" s="47" t="n">
        <x:f>IFERROR(INDEX(Enemies!$S$5:$S$16,MATCH($B5,Enemies!$A$5:$A$16,0)),0)</x:f>
        <x:v>2.666666666666667</x:v>
      </x:c>
      <x:c r="L5" s="47" t="n">
        <x:f>IFERROR(INDEX(Skills!$I$5:$I$10,MATCH($G5,Skills!$B$5:$B$10,0)),0)</x:f>
        <x:v>4</x:v>
      </x:c>
      <x:c r="M5" s="47" t="n">
        <x:f>MAX(0,$C5*$K5-$C5*$L5)</x:f>
        <x:v>0</x:v>
      </x:c>
      <x:c r="N5" s="49" t="n">
        <x:f>IF(Inputs!$B$4&gt;0,$M5/Inputs!$B$4,0)</x:f>
        <x:v>0</x:v>
      </x:c>
      <x:c r="O5" s="48" t="n">
        <x:f>MAX(Inputs!$B$16,IFERROR(INDEX(Enemies!$I$5:$I$16,MATCH($B5,Enemies!$A$5:$A$16,0)),0)*Inputs!$B$12+$D5*Inputs!$B$13+$E5*Inputs!$B$14-$C5*Inputs!$B$15)</x:f>
        <x:v>40</x:v>
      </x:c>
      <x:c r="P5" s="45" t="str">
        <x:f>IF($J5="","스킬 확인",IF($C5&lt;$J5,"공격 부족",IF($N5&gt;=1,"위험",IF($N5&gt;=0.6,"주의","OK"))))</x:f>
        <x:v>OK</x:v>
      </x:c>
      <x:c r="Q5" s="45" t="str"/>
    </x:row>
    <x:row r="6">
      <x:c r="A6" s="48" t="n">
        <x:v>2</x:v>
      </x:c>
      <x:c r="B6" s="55" t="str">
        <x:v>검은 송곳니</x:v>
      </x:c>
      <x:c r="C6" s="55" t="n">
        <x:v>6</x:v>
      </x:c>
      <x:c r="D6" s="55" t="n">
        <x:v>1</x:v>
      </x:c>
      <x:c r="E6" s="55" t="n">
        <x:v>2</x:v>
      </x:c>
      <x:c r="F6" s="46" t="str">
        <x:v>1단계 공격</x:v>
      </x:c>
      <x:c r="G6" s="46" t="str">
        <x:v>1단계 방어</x:v>
      </x:c>
      <x:c r="H6" s="47" t="n">
        <x:f>IFERROR(INDEX(Enemies!$E$5:$E$16,MATCH($B6,Enemies!$A$5:$A$16,0)),"")</x:f>
        <x:v>32</x:v>
      </x:c>
      <x:c r="I6" s="47" t="n">
        <x:f>IFERROR(INDEX(Skills!$H$5:$H$10,MATCH($F6,Skills!$B$5:$B$10,0)),0)</x:f>
        <x:v>5</x:v>
      </x:c>
      <x:c r="J6" s="47" t="n">
        <x:f>IF(OR($H6="",$I6&lt;=0),"",CEILING($H6/$I6,1))</x:f>
        <x:v>7</x:v>
      </x:c>
      <x:c r="K6" s="47" t="n">
        <x:f>IFERROR(INDEX(Enemies!$S$5:$S$16,MATCH($B6,Enemies!$A$5:$A$16,0)),0)</x:f>
        <x:v>2.666666666666667</x:v>
      </x:c>
      <x:c r="L6" s="47" t="n">
        <x:f>IFERROR(INDEX(Skills!$I$5:$I$10,MATCH($G6,Skills!$B$5:$B$10,0)),0)</x:f>
        <x:v>3</x:v>
      </x:c>
      <x:c r="M6" s="47" t="n">
        <x:f>MAX(0,$C6*$K6-$C6*$L6)</x:f>
        <x:v>0</x:v>
      </x:c>
      <x:c r="N6" s="49" t="n">
        <x:f>IF(Inputs!$B$4&gt;0,$M6/Inputs!$B$4,0)</x:f>
        <x:v>0</x:v>
      </x:c>
      <x:c r="O6" s="48" t="n">
        <x:f>MAX(Inputs!$B$16,IFERROR(INDEX(Enemies!$I$5:$I$16,MATCH($B6,Enemies!$A$5:$A$16,0)),0)*Inputs!$B$12+$D6*Inputs!$B$13+$E6*Inputs!$B$14-$C6*Inputs!$B$15)</x:f>
        <x:v>70</x:v>
      </x:c>
      <x:c r="P6" s="45" t="str">
        <x:f>IF($J6="","스킬 확인",IF($C6&lt;$J6,"공격 부족",IF($N6&gt;=1,"위험",IF($N6&gt;=0.6,"주의","OK"))))</x:f>
        <x:v>공격 부족</x:v>
      </x:c>
      <x:c r="Q6" s="45" t="str"/>
    </x:row>
    <x:row r="7">
      <x:c r="A7" s="48" t="n">
        <x:v>3</x:v>
      </x:c>
      <x:c r="B7" s="55" t="str">
        <x:v>공포 파수꾼</x:v>
      </x:c>
      <x:c r="C7" s="55" t="n">
        <x:v>6</x:v>
      </x:c>
      <x:c r="D7" s="55" t="n">
        <x:v>2</x:v>
      </x:c>
      <x:c r="E7" s="55" t="n">
        <x:v>0</x:v>
      </x:c>
      <x:c r="F7" s="46" t="str">
        <x:v>1단계 공격</x:v>
      </x:c>
      <x:c r="G7" s="46" t="str">
        <x:v>1단계 방어</x:v>
      </x:c>
      <x:c r="H7" s="47" t="n">
        <x:f>IFERROR(INDEX(Enemies!$E$5:$E$16,MATCH($B7,Enemies!$A$5:$A$16,0)),"")</x:f>
        <x:v>32</x:v>
      </x:c>
      <x:c r="I7" s="47" t="n">
        <x:f>IFERROR(INDEX(Skills!$H$5:$H$10,MATCH($F7,Skills!$B$5:$B$10,0)),0)</x:f>
        <x:v>5</x:v>
      </x:c>
      <x:c r="J7" s="47" t="n">
        <x:f>IF(OR($H7="",$I7&lt;=0),"",CEILING($H7/$I7,1))</x:f>
        <x:v>7</x:v>
      </x:c>
      <x:c r="K7" s="47" t="n">
        <x:f>IFERROR(INDEX(Enemies!$S$5:$S$16,MATCH($B7,Enemies!$A$5:$A$16,0)),0)</x:f>
        <x:v>0.6666666666666667</x:v>
      </x:c>
      <x:c r="L7" s="47" t="n">
        <x:f>IFERROR(INDEX(Skills!$I$5:$I$10,MATCH($G7,Skills!$B$5:$B$10,0)),0)</x:f>
        <x:v>3</x:v>
      </x:c>
      <x:c r="M7" s="47" t="n">
        <x:f>MAX(0,$C7*$K7-$C7*$L7)</x:f>
        <x:v>0</x:v>
      </x:c>
      <x:c r="N7" s="49" t="n">
        <x:f>IF(Inputs!$B$4&gt;0,$M7/Inputs!$B$4,0)</x:f>
        <x:v>0</x:v>
      </x:c>
      <x:c r="O7" s="48" t="n">
        <x:f>MAX(Inputs!$B$16,IFERROR(INDEX(Enemies!$I$5:$I$16,MATCH($B7,Enemies!$A$5:$A$16,0)),0)*Inputs!$B$12+$D7*Inputs!$B$13+$E7*Inputs!$B$14-$C7*Inputs!$B$15)</x:f>
        <x:v>80</x:v>
      </x:c>
      <x:c r="P7" s="45" t="str">
        <x:f>IF($J7="","스킬 확인",IF($C7&lt;$J7,"공격 부족",IF($N7&gt;=1,"위험",IF($N7&gt;=0.6,"주의","OK"))))</x:f>
        <x:v>공격 부족</x:v>
      </x:c>
      <x:c r="Q7" s="45" t="str"/>
    </x:row>
    <x:row r="8">
      <x:c r="A8" s="48" t="n">
        <x:v>4</x:v>
      </x:c>
      <x:c r="B8" s="55" t="str">
        <x:v>암흑 파수꾼</x:v>
      </x:c>
      <x:c r="C8" s="55" t="n">
        <x:v>6</x:v>
      </x:c>
      <x:c r="D8" s="55" t="n">
        <x:v>0</x:v>
      </x:c>
      <x:c r="E8" s="55" t="n">
        <x:v>2</x:v>
      </x:c>
      <x:c r="F8" s="46" t="str">
        <x:v>2단계 공격</x:v>
      </x:c>
      <x:c r="G8" s="46" t="str">
        <x:v>1단계 방어</x:v>
      </x:c>
      <x:c r="H8" s="47" t="n">
        <x:f>IFERROR(INDEX(Enemies!$E$5:$E$16,MATCH($B8,Enemies!$A$5:$A$16,0)),"")</x:f>
        <x:v>32</x:v>
      </x:c>
      <x:c r="I8" s="47" t="n">
        <x:f>IFERROR(INDEX(Skills!$H$5:$H$10,MATCH($F8,Skills!$B$5:$B$10,0)),0)</x:f>
        <x:v>6</x:v>
      </x:c>
      <x:c r="J8" s="47" t="n">
        <x:f>IF(OR($H8="",$I8&lt;=0),"",CEILING($H8/$I8,1))</x:f>
        <x:v>6</x:v>
      </x:c>
      <x:c r="K8" s="47" t="n">
        <x:f>IFERROR(INDEX(Enemies!$S$5:$S$16,MATCH($B8,Enemies!$A$5:$A$16,0)),0)</x:f>
        <x:v>0.6666666666666667</x:v>
      </x:c>
      <x:c r="L8" s="47" t="n">
        <x:f>IFERROR(INDEX(Skills!$I$5:$I$10,MATCH($G8,Skills!$B$5:$B$10,0)),0)</x:f>
        <x:v>3</x:v>
      </x:c>
      <x:c r="M8" s="47" t="n">
        <x:f>MAX(0,$C8*$K8-$C8*$L8)</x:f>
        <x:v>0</x:v>
      </x:c>
      <x:c r="N8" s="49" t="n">
        <x:f>IF(Inputs!$B$4&gt;0,$M8/Inputs!$B$4,0)</x:f>
        <x:v>0</x:v>
      </x:c>
      <x:c r="O8" s="48" t="n">
        <x:f>MAX(Inputs!$B$16,IFERROR(INDEX(Enemies!$I$5:$I$16,MATCH($B8,Enemies!$A$5:$A$16,0)),0)*Inputs!$B$12+$D8*Inputs!$B$13+$E8*Inputs!$B$14-$C8*Inputs!$B$15)</x:f>
        <x:v>50</x:v>
      </x:c>
      <x:c r="P8" s="45" t="str">
        <x:f>IF($J8="","스킬 확인",IF($C8&lt;$J8,"공격 부족",IF($N8&gt;=1,"위험",IF($N8&gt;=0.6,"주의","OK"))))</x:f>
        <x:v>OK</x:v>
      </x:c>
      <x:c r="Q8" s="45" t="str"/>
    </x:row>
    <x:row r="9">
      <x:c r="A9" s="48" t="n">
        <x:v>5</x:v>
      </x:c>
      <x:c r="B9" s="55" t="str">
        <x:v>황혼 추적자</x:v>
      </x:c>
      <x:c r="C9" s="55" t="n">
        <x:v>6</x:v>
      </x:c>
      <x:c r="D9" s="55" t="n">
        <x:v>1</x:v>
      </x:c>
      <x:c r="E9" s="55" t="n">
        <x:v>0</x:v>
      </x:c>
      <x:c r="F9" s="46" t="str">
        <x:v>1단계 공격</x:v>
      </x:c>
      <x:c r="G9" s="46" t="str">
        <x:v>2단계 방어</x:v>
      </x:c>
      <x:c r="H9" s="47" t="n">
        <x:f>IFERROR(INDEX(Enemies!$E$5:$E$16,MATCH($B9,Enemies!$A$5:$A$16,0)),"")</x:f>
        <x:v>32</x:v>
      </x:c>
      <x:c r="I9" s="47" t="n">
        <x:f>IFERROR(INDEX(Skills!$H$5:$H$10,MATCH($F9,Skills!$B$5:$B$10,0)),0)</x:f>
        <x:v>5</x:v>
      </x:c>
      <x:c r="J9" s="47" t="n">
        <x:f>IF(OR($H9="",$I9&lt;=0),"",CEILING($H9/$I9,1))</x:f>
        <x:v>7</x:v>
      </x:c>
      <x:c r="K9" s="47" t="n">
        <x:f>IFERROR(INDEX(Enemies!$S$5:$S$16,MATCH($B9,Enemies!$A$5:$A$16,0)),0)</x:f>
        <x:v>1.666666666666667</x:v>
      </x:c>
      <x:c r="L9" s="47" t="n">
        <x:f>IFERROR(INDEX(Skills!$I$5:$I$10,MATCH($G9,Skills!$B$5:$B$10,0)),0)</x:f>
        <x:v>4</x:v>
      </x:c>
      <x:c r="M9" s="47" t="n">
        <x:f>MAX(0,$C9*$K9-$C9*$L9)</x:f>
        <x:v>0</x:v>
      </x:c>
      <x:c r="N9" s="49" t="n">
        <x:f>IF(Inputs!$B$4&gt;0,$M9/Inputs!$B$4,0)</x:f>
        <x:v>0</x:v>
      </x:c>
      <x:c r="O9" s="48" t="n">
        <x:f>MAX(Inputs!$B$16,IFERROR(INDEX(Enemies!$I$5:$I$16,MATCH($B9,Enemies!$A$5:$A$16,0)),0)*Inputs!$B$12+$D9*Inputs!$B$13+$E9*Inputs!$B$14-$C9*Inputs!$B$15)</x:f>
        <x:v>60</x:v>
      </x:c>
      <x:c r="P9" s="45" t="str">
        <x:f>IF($J9="","스킬 확인",IF($C9&lt;$J9,"공격 부족",IF($N9&gt;=1,"위험",IF($N9&gt;=0.6,"주의","OK"))))</x:f>
        <x:v>공격 부족</x:v>
      </x:c>
      <x:c r="Q9" s="45" t="str"/>
    </x:row>
    <x:row r="10">
      <x:c r="A10" s="48" t="n">
        <x:v>6</x:v>
      </x:c>
      <x:c r="B10" s="55" t="str">
        <x:v>그림자 추적자</x:v>
      </x:c>
      <x:c r="C10" s="55" t="n">
        <x:v>6</x:v>
      </x:c>
      <x:c r="D10" s="55" t="n">
        <x:v>2</x:v>
      </x:c>
      <x:c r="E10" s="55" t="n">
        <x:v>2</x:v>
      </x:c>
      <x:c r="F10" s="46" t="str">
        <x:v>1단계 공격</x:v>
      </x:c>
      <x:c r="G10" s="46" t="str">
        <x:v>1단계 방어</x:v>
      </x:c>
      <x:c r="H10" s="47" t="n">
        <x:f>IFERROR(INDEX(Enemies!$E$5:$E$16,MATCH($B10,Enemies!$A$5:$A$16,0)),"")</x:f>
        <x:v>32</x:v>
      </x:c>
      <x:c r="I10" s="47" t="n">
        <x:f>IFERROR(INDEX(Skills!$H$5:$H$10,MATCH($F10,Skills!$B$5:$B$10,0)),0)</x:f>
        <x:v>5</x:v>
      </x:c>
      <x:c r="J10" s="47" t="n">
        <x:f>IF(OR($H10="",$I10&lt;=0),"",CEILING($H10/$I10,1))</x:f>
        <x:v>7</x:v>
      </x:c>
      <x:c r="K10" s="47" t="n">
        <x:f>IFERROR(INDEX(Enemies!$S$5:$S$16,MATCH($B10,Enemies!$A$5:$A$16,0)),0)</x:f>
        <x:v>1.666666666666667</x:v>
      </x:c>
      <x:c r="L10" s="47" t="n">
        <x:f>IFERROR(INDEX(Skills!$I$5:$I$10,MATCH($G10,Skills!$B$5:$B$10,0)),0)</x:f>
        <x:v>3</x:v>
      </x:c>
      <x:c r="M10" s="47" t="n">
        <x:f>MAX(0,$C10*$K10-$C10*$L10)</x:f>
        <x:v>0</x:v>
      </x:c>
      <x:c r="N10" s="49" t="n">
        <x:f>IF(Inputs!$B$4&gt;0,$M10/Inputs!$B$4,0)</x:f>
        <x:v>0</x:v>
      </x:c>
      <x:c r="O10" s="48" t="n">
        <x:f>MAX(Inputs!$B$16,IFERROR(INDEX(Enemies!$I$5:$I$16,MATCH($B10,Enemies!$A$5:$A$16,0)),0)*Inputs!$B$12+$D10*Inputs!$B$13+$E10*Inputs!$B$14-$C10*Inputs!$B$15)</x:f>
        <x:v>90</x:v>
      </x:c>
      <x:c r="P10" s="45" t="str">
        <x:f>IF($J10="","스킬 확인",IF($C10&lt;$J10,"공격 부족",IF($N10&gt;=1,"위험",IF($N10&gt;=0.6,"주의","OK"))))</x:f>
        <x:v>공격 부족</x:v>
      </x:c>
      <x:c r="Q10" s="45" t="str"/>
    </x:row>
    <x:row r="11">
      <x:c r="A11" s="48" t="n">
        <x:v>7</x:v>
      </x:c>
      <x:c r="B11" s="55" t="str">
        <x:v>분노의 발톱</x:v>
      </x:c>
      <x:c r="C11" s="55" t="n">
        <x:v>6</x:v>
      </x:c>
      <x:c r="D11" s="55" t="n">
        <x:v>0</x:v>
      </x:c>
      <x:c r="E11" s="55" t="n">
        <x:v>0</x:v>
      </x:c>
      <x:c r="F11" s="46" t="str">
        <x:v>2단계 공격</x:v>
      </x:c>
      <x:c r="G11" s="46" t="str">
        <x:v>1단계 방어</x:v>
      </x:c>
      <x:c r="H11" s="47" t="n">
        <x:f>IFERROR(INDEX(Enemies!$E$5:$E$16,MATCH($B11,Enemies!$A$5:$A$16,0)),"")</x:f>
        <x:v>32</x:v>
      </x:c>
      <x:c r="I11" s="47" t="n">
        <x:f>IFERROR(INDEX(Skills!$H$5:$H$10,MATCH($F11,Skills!$B$5:$B$10,0)),0)</x:f>
        <x:v>6</x:v>
      </x:c>
      <x:c r="J11" s="47" t="n">
        <x:f>IF(OR($H11="",$I11&lt;=0),"",CEILING($H11/$I11,1))</x:f>
        <x:v>6</x:v>
      </x:c>
      <x:c r="K11" s="47" t="n">
        <x:f>IFERROR(INDEX(Enemies!$S$5:$S$16,MATCH($B11,Enemies!$A$5:$A$16,0)),0)</x:f>
        <x:v>2.666666666666667</x:v>
      </x:c>
      <x:c r="L11" s="47" t="n">
        <x:f>IFERROR(INDEX(Skills!$I$5:$I$10,MATCH($G11,Skills!$B$5:$B$10,0)),0)</x:f>
        <x:v>3</x:v>
      </x:c>
      <x:c r="M11" s="47" t="n">
        <x:f>MAX(0,$C11*$K11-$C11*$L11)</x:f>
        <x:v>0</x:v>
      </x:c>
      <x:c r="N11" s="49" t="n">
        <x:f>IF(Inputs!$B$4&gt;0,$M11/Inputs!$B$4,0)</x:f>
        <x:v>0</x:v>
      </x:c>
      <x:c r="O11" s="48" t="n">
        <x:f>MAX(Inputs!$B$16,IFERROR(INDEX(Enemies!$I$5:$I$16,MATCH($B11,Enemies!$A$5:$A$16,0)),0)*Inputs!$B$12+$D11*Inputs!$B$13+$E11*Inputs!$B$14-$C11*Inputs!$B$15)</x:f>
        <x:v>40</x:v>
      </x:c>
      <x:c r="P11" s="45" t="str">
        <x:f>IF($J11="","스킬 확인",IF($C11&lt;$J11,"공격 부족",IF($N11&gt;=1,"위험",IF($N11&gt;=0.6,"주의","OK"))))</x:f>
        <x:v>OK</x:v>
      </x:c>
      <x:c r="Q11" s="45" t="str"/>
    </x:row>
    <x:row r="12">
      <x:c r="A12" s="48" t="n">
        <x:v>8</x:v>
      </x:c>
      <x:c r="B12" s="55" t="str">
        <x:v>칠흑 방패</x:v>
      </x:c>
      <x:c r="C12" s="55" t="n">
        <x:v>6</x:v>
      </x:c>
      <x:c r="D12" s="55" t="n">
        <x:v>1</x:v>
      </x:c>
      <x:c r="E12" s="55" t="n">
        <x:v>2</x:v>
      </x:c>
      <x:c r="F12" s="46" t="str">
        <x:v>1단계 공격</x:v>
      </x:c>
      <x:c r="G12" s="46" t="str">
        <x:v>1단계 방어</x:v>
      </x:c>
      <x:c r="H12" s="47" t="n">
        <x:f>IFERROR(INDEX(Enemies!$E$5:$E$16,MATCH($B12,Enemies!$A$5:$A$16,0)),"")</x:f>
        <x:v>32</x:v>
      </x:c>
      <x:c r="I12" s="47" t="n">
        <x:f>IFERROR(INDEX(Skills!$H$5:$H$10,MATCH($F12,Skills!$B$5:$B$10,0)),0)</x:f>
        <x:v>5</x:v>
      </x:c>
      <x:c r="J12" s="47" t="n">
        <x:f>IF(OR($H12="",$I12&lt;=0),"",CEILING($H12/$I12,1))</x:f>
        <x:v>7</x:v>
      </x:c>
      <x:c r="K12" s="47" t="n">
        <x:f>IFERROR(INDEX(Enemies!$S$5:$S$16,MATCH($B12,Enemies!$A$5:$A$16,0)),0)</x:f>
        <x:v>0.6666666666666667</x:v>
      </x:c>
      <x:c r="L12" s="47" t="n">
        <x:f>IFERROR(INDEX(Skills!$I$5:$I$10,MATCH($G12,Skills!$B$5:$B$10,0)),0)</x:f>
        <x:v>3</x:v>
      </x:c>
      <x:c r="M12" s="47" t="n">
        <x:f>MAX(0,$C12*$K12-$C12*$L12)</x:f>
        <x:v>0</x:v>
      </x:c>
      <x:c r="N12" s="49" t="n">
        <x:f>IF(Inputs!$B$4&gt;0,$M12/Inputs!$B$4,0)</x:f>
        <x:v>0</x:v>
      </x:c>
      <x:c r="O12" s="48" t="n">
        <x:f>MAX(Inputs!$B$16,IFERROR(INDEX(Enemies!$I$5:$I$16,MATCH($B12,Enemies!$A$5:$A$16,0)),0)*Inputs!$B$12+$D12*Inputs!$B$13+$E12*Inputs!$B$14-$C12*Inputs!$B$15)</x:f>
        <x:v>70</x:v>
      </x:c>
      <x:c r="P12" s="45" t="str">
        <x:f>IF($J12="","스킬 확인",IF($C12&lt;$J12,"공격 부족",IF($N12&gt;=1,"위험",IF($N12&gt;=0.6,"주의","OK"))))</x:f>
        <x:v>공격 부족</x:v>
      </x:c>
      <x:c r="Q12" s="45" t="str"/>
    </x:row>
    <x:row r="13">
      <x:c r="A13" s="48" t="n">
        <x:v>9</x:v>
      </x:c>
      <x:c r="B13" s="55" t="str">
        <x:v>강화 붉은 송곳니</x:v>
      </x:c>
      <x:c r="C13" s="55" t="n">
        <x:v>7</x:v>
      </x:c>
      <x:c r="D13" s="55" t="n">
        <x:v>2</x:v>
      </x:c>
      <x:c r="E13" s="55" t="n">
        <x:v>0</x:v>
      </x:c>
      <x:c r="F13" s="46" t="str">
        <x:v>3단계 공격</x:v>
      </x:c>
      <x:c r="G13" s="46" t="str">
        <x:v>2단계 방어</x:v>
      </x:c>
      <x:c r="H13" s="47" t="n">
        <x:f>IFERROR(INDEX(Enemies!$E$5:$E$16,MATCH($B13,Enemies!$A$5:$A$16,0)),"")</x:f>
        <x:v>40</x:v>
      </x:c>
      <x:c r="I13" s="47" t="n">
        <x:f>IFERROR(INDEX(Skills!$H$5:$H$10,MATCH($F13,Skills!$B$5:$B$10,0)),0)</x:f>
        <x:v>10</x:v>
      </x:c>
      <x:c r="J13" s="47" t="n">
        <x:f>IF(OR($H13="",$I13&lt;=0),"",CEILING($H13/$I13,1))</x:f>
        <x:v>4</x:v>
      </x:c>
      <x:c r="K13" s="47" t="n">
        <x:f>IFERROR(INDEX(Enemies!$S$5:$S$16,MATCH($B13,Enemies!$A$5:$A$16,0)),0)</x:f>
        <x:v>4.800000000000001</x:v>
      </x:c>
      <x:c r="L13" s="47" t="n">
        <x:f>IFERROR(INDEX(Skills!$I$5:$I$10,MATCH($G13,Skills!$B$5:$B$10,0)),0)</x:f>
        <x:v>4</x:v>
      </x:c>
      <x:c r="M13" s="47" t="n">
        <x:f>MAX(0,$C13*$K13-$C13*$L13)</x:f>
        <x:v>5.6000000000000085</x:v>
      </x:c>
      <x:c r="N13" s="49" t="n">
        <x:f>IF(Inputs!$B$4&gt;0,$M13/Inputs!$B$4,0)</x:f>
        <x:v>0.18666666666666695</x:v>
      </x:c>
      <x:c r="O13" s="48" t="n">
        <x:f>MAX(Inputs!$B$16,IFERROR(INDEX(Enemies!$I$5:$I$16,MATCH($B13,Enemies!$A$5:$A$16,0)),0)*Inputs!$B$12+$D13*Inputs!$B$13+$E13*Inputs!$B$14-$C13*Inputs!$B$15)</x:f>
        <x:v>170</x:v>
      </x:c>
      <x:c r="P13" s="45" t="str">
        <x:f>IF($J13="","스킬 확인",IF($C13&lt;$J13,"공격 부족",IF($N13&gt;=1,"위험",IF($N13&gt;=0.6,"주의","OK"))))</x:f>
        <x:v>OK</x:v>
      </x:c>
      <x:c r="Q13" s="45" t="str"/>
    </x:row>
    <x:row r="14">
      <x:c r="A14" s="48" t="n">
        <x:v>10</x:v>
      </x:c>
      <x:c r="B14" s="55" t="str">
        <x:v>강화 검은 송곳니</x:v>
      </x:c>
      <x:c r="C14" s="55" t="n">
        <x:v>7</x:v>
      </x:c>
      <x:c r="D14" s="55" t="n">
        <x:v>0</x:v>
      </x:c>
      <x:c r="E14" s="55" t="n">
        <x:v>2</x:v>
      </x:c>
      <x:c r="F14" s="46" t="str">
        <x:v>3단계 공격</x:v>
      </x:c>
      <x:c r="G14" s="46" t="str">
        <x:v>1단계 방어</x:v>
      </x:c>
      <x:c r="H14" s="47" t="n">
        <x:f>IFERROR(INDEX(Enemies!$E$5:$E$16,MATCH($B14,Enemies!$A$5:$A$16,0)),"")</x:f>
        <x:v>40</x:v>
      </x:c>
      <x:c r="I14" s="47" t="n">
        <x:f>IFERROR(INDEX(Skills!$H$5:$H$10,MATCH($F14,Skills!$B$5:$B$10,0)),0)</x:f>
        <x:v>10</x:v>
      </x:c>
      <x:c r="J14" s="47" t="n">
        <x:f>IF(OR($H14="",$I14&lt;=0),"",CEILING($H14/$I14,1))</x:f>
        <x:v>4</x:v>
      </x:c>
      <x:c r="K14" s="47" t="n">
        <x:f>IFERROR(INDEX(Enemies!$S$5:$S$16,MATCH($B14,Enemies!$A$5:$A$16,0)),0)</x:f>
        <x:v>4.800000000000001</x:v>
      </x:c>
      <x:c r="L14" s="47" t="n">
        <x:f>IFERROR(INDEX(Skills!$I$5:$I$10,MATCH($G14,Skills!$B$5:$B$10,0)),0)</x:f>
        <x:v>3</x:v>
      </x:c>
      <x:c r="M14" s="47" t="n">
        <x:f>MAX(0,$C14*$K14-$C14*$L14)</x:f>
        <x:v>12.600000000000009</x:v>
      </x:c>
      <x:c r="N14" s="49" t="n">
        <x:f>IF(Inputs!$B$4&gt;0,$M14/Inputs!$B$4,0)</x:f>
        <x:v>0.42000000000000026</x:v>
      </x:c>
      <x:c r="O14" s="48" t="n">
        <x:f>MAX(Inputs!$B$16,IFERROR(INDEX(Enemies!$I$5:$I$16,MATCH($B14,Enemies!$A$5:$A$16,0)),0)*Inputs!$B$12+$D14*Inputs!$B$13+$E14*Inputs!$B$14-$C14*Inputs!$B$15)</x:f>
        <x:v>140</x:v>
      </x:c>
      <x:c r="P14" s="45" t="str">
        <x:f>IF($J14="","스킬 확인",IF($C14&lt;$J14,"공격 부족",IF($N14&gt;=1,"위험",IF($N14&gt;=0.6,"주의","OK"))))</x:f>
        <x:v>OK</x:v>
      </x:c>
      <x:c r="Q14" s="45" t="str"/>
    </x:row>
    <x:row r="15">
      <x:c r="A15" s="48" t="n">
        <x:v>11</x:v>
      </x:c>
      <x:c r="B15" s="55" t="str">
        <x:v>강화 공포 파수꾼</x:v>
      </x:c>
      <x:c r="C15" s="55" t="n">
        <x:v>7</x:v>
      </x:c>
      <x:c r="D15" s="55" t="n">
        <x:v>1</x:v>
      </x:c>
      <x:c r="E15" s="55" t="n">
        <x:v>0</x:v>
      </x:c>
      <x:c r="F15" s="46" t="str">
        <x:v>3단계 공격</x:v>
      </x:c>
      <x:c r="G15" s="46" t="str">
        <x:v>1단계 방어</x:v>
      </x:c>
      <x:c r="H15" s="47" t="n">
        <x:f>IFERROR(INDEX(Enemies!$E$5:$E$16,MATCH($B15,Enemies!$A$5:$A$16,0)),"")</x:f>
        <x:v>40</x:v>
      </x:c>
      <x:c r="I15" s="47" t="n">
        <x:f>IFERROR(INDEX(Skills!$H$5:$H$10,MATCH($F15,Skills!$B$5:$B$10,0)),0)</x:f>
        <x:v>10</x:v>
      </x:c>
      <x:c r="J15" s="47" t="n">
        <x:f>IF(OR($H15="",$I15&lt;=0),"",CEILING($H15/$I15,1))</x:f>
        <x:v>4</x:v>
      </x:c>
      <x:c r="K15" s="47" t="n">
        <x:f>IFERROR(INDEX(Enemies!$S$5:$S$16,MATCH($B15,Enemies!$A$5:$A$16,0)),0)</x:f>
        <x:v>1.2000000000000002</x:v>
      </x:c>
      <x:c r="L15" s="47" t="n">
        <x:f>IFERROR(INDEX(Skills!$I$5:$I$10,MATCH($G15,Skills!$B$5:$B$10,0)),0)</x:f>
        <x:v>3</x:v>
      </x:c>
      <x:c r="M15" s="47" t="n">
        <x:f>MAX(0,$C15*$K15-$C15*$L15)</x:f>
        <x:v>0</x:v>
      </x:c>
      <x:c r="N15" s="49" t="n">
        <x:f>IF(Inputs!$B$4&gt;0,$M15/Inputs!$B$4,0)</x:f>
        <x:v>0</x:v>
      </x:c>
      <x:c r="O15" s="48" t="n">
        <x:f>MAX(Inputs!$B$16,IFERROR(INDEX(Enemies!$I$5:$I$16,MATCH($B15,Enemies!$A$5:$A$16,0)),0)*Inputs!$B$12+$D15*Inputs!$B$13+$E15*Inputs!$B$14-$C15*Inputs!$B$15)</x:f>
        <x:v>150</x:v>
      </x:c>
      <x:c r="P15" s="45" t="str">
        <x:f>IF($J15="","스킬 확인",IF($C15&lt;$J15,"공격 부족",IF($N15&gt;=1,"위험",IF($N15&gt;=0.6,"주의","OK"))))</x:f>
        <x:v>OK</x:v>
      </x:c>
      <x:c r="Q15" s="45" t="str"/>
    </x:row>
    <x:row r="16">
      <x:c r="A16" s="48" t="n">
        <x:v>12</x:v>
      </x:c>
      <x:c r="B16" s="55" t="str">
        <x:v>강화 그림자 추적자</x:v>
      </x:c>
      <x:c r="C16" s="55" t="n">
        <x:v>7</x:v>
      </x:c>
      <x:c r="D16" s="55" t="n">
        <x:v>2</x:v>
      </x:c>
      <x:c r="E16" s="55" t="n">
        <x:v>2</x:v>
      </x:c>
      <x:c r="F16" s="46" t="str">
        <x:v>3단계 공격</x:v>
      </x:c>
      <x:c r="G16" s="46" t="str">
        <x:v>1단계 방어</x:v>
      </x:c>
      <x:c r="H16" s="47" t="n">
        <x:f>IFERROR(INDEX(Enemies!$E$5:$E$16,MATCH($B16,Enemies!$A$5:$A$16,0)),"")</x:f>
        <x:v>40</x:v>
      </x:c>
      <x:c r="I16" s="47" t="n">
        <x:f>IFERROR(INDEX(Skills!$H$5:$H$10,MATCH($F16,Skills!$B$5:$B$10,0)),0)</x:f>
        <x:v>10</x:v>
      </x:c>
      <x:c r="J16" s="47" t="n">
        <x:f>IF(OR($H16="",$I16&lt;=0),"",CEILING($H16/$I16,1))</x:f>
        <x:v>4</x:v>
      </x:c>
      <x:c r="K16" s="47" t="n">
        <x:f>IFERROR(INDEX(Enemies!$S$5:$S$16,MATCH($B16,Enemies!$A$5:$A$16,0)),0)</x:f>
        <x:v>3.0000000000000004</x:v>
      </x:c>
      <x:c r="L16" s="47" t="n">
        <x:f>IFERROR(INDEX(Skills!$I$5:$I$10,MATCH($G16,Skills!$B$5:$B$10,0)),0)</x:f>
        <x:v>3</x:v>
      </x:c>
      <x:c r="M16" s="47" t="n">
        <x:f>MAX(0,$C16*$K16-$C16*$L16)</x:f>
        <x:v>3.552713678800501e-15</x:v>
      </x:c>
      <x:c r="N16" s="49" t="n">
        <x:f>IF(Inputs!$B$4&gt;0,$M16/Inputs!$B$4,0)</x:f>
        <x:v>1.1842378929335003e-16</x:v>
      </x:c>
      <x:c r="O16" s="48" t="n">
        <x:f>MAX(Inputs!$B$16,IFERROR(INDEX(Enemies!$I$5:$I$16,MATCH($B16,Enemies!$A$5:$A$16,0)),0)*Inputs!$B$12+$D16*Inputs!$B$13+$E16*Inputs!$B$14-$C16*Inputs!$B$15)</x:f>
        <x:v>180</x:v>
      </x:c>
      <x:c r="P16" s="45" t="str">
        <x:f>IF($J16="","스킬 확인",IF($C16&lt;$J16,"공격 부족",IF($N16&gt;=1,"위험",IF($N16&gt;=0.6,"주의","OK"))))</x:f>
        <x:v>OK</x:v>
      </x:c>
      <x:c r="Q16" s="45" t="str"/>
    </x:row>
    <x:row r="17">
      <x:c r="A17" s="48" t="n">
        <x:v>13</x:v>
      </x:c>
      <x:c r="B17" s="55" t="str">
        <x:v>붉은 송곳니</x:v>
      </x:c>
      <x:c r="C17" s="55" t="n">
        <x:v>6</x:v>
      </x:c>
      <x:c r="D17" s="55" t="n">
        <x:v>0</x:v>
      </x:c>
      <x:c r="E17" s="55" t="n">
        <x:v>0</x:v>
      </x:c>
      <x:c r="F17" s="46" t="str">
        <x:v>2단계 공격</x:v>
      </x:c>
      <x:c r="G17" s="46" t="str">
        <x:v>2단계 방어</x:v>
      </x:c>
      <x:c r="H17" s="47" t="n">
        <x:f>IFERROR(INDEX(Enemies!$E$5:$E$16,MATCH($B17,Enemies!$A$5:$A$16,0)),"")</x:f>
        <x:v>32</x:v>
      </x:c>
      <x:c r="I17" s="47" t="n">
        <x:f>IFERROR(INDEX(Skills!$H$5:$H$10,MATCH($F17,Skills!$B$5:$B$10,0)),0)</x:f>
        <x:v>6</x:v>
      </x:c>
      <x:c r="J17" s="47" t="n">
        <x:f>IF(OR($H17="",$I17&lt;=0),"",CEILING($H17/$I17,1))</x:f>
        <x:v>6</x:v>
      </x:c>
      <x:c r="K17" s="47" t="n">
        <x:f>IFERROR(INDEX(Enemies!$S$5:$S$16,MATCH($B17,Enemies!$A$5:$A$16,0)),0)</x:f>
        <x:v>2.666666666666667</x:v>
      </x:c>
      <x:c r="L17" s="47" t="n">
        <x:f>IFERROR(INDEX(Skills!$I$5:$I$10,MATCH($G17,Skills!$B$5:$B$10,0)),0)</x:f>
        <x:v>4</x:v>
      </x:c>
      <x:c r="M17" s="47" t="n">
        <x:f>MAX(0,$C17*$K17-$C17*$L17)</x:f>
        <x:v>0</x:v>
      </x:c>
      <x:c r="N17" s="49" t="n">
        <x:f>IF(Inputs!$B$4&gt;0,$M17/Inputs!$B$4,0)</x:f>
        <x:v>0</x:v>
      </x:c>
      <x:c r="O17" s="48" t="n">
        <x:f>MAX(Inputs!$B$16,IFERROR(INDEX(Enemies!$I$5:$I$16,MATCH($B17,Enemies!$A$5:$A$16,0)),0)*Inputs!$B$12+$D17*Inputs!$B$13+$E17*Inputs!$B$14-$C17*Inputs!$B$15)</x:f>
        <x:v>40</x:v>
      </x:c>
      <x:c r="P17" s="45" t="str">
        <x:f>IF($J17="","스킬 확인",IF($C17&lt;$J17,"공격 부족",IF($N17&gt;=1,"위험",IF($N17&gt;=0.6,"주의","OK"))))</x:f>
        <x:v>OK</x:v>
      </x:c>
      <x:c r="Q17" s="45" t="str"/>
    </x:row>
    <x:row r="18">
      <x:c r="A18" s="48" t="n">
        <x:v>14</x:v>
      </x:c>
      <x:c r="B18" s="55" t="str">
        <x:v>검은 송곳니</x:v>
      </x:c>
      <x:c r="C18" s="55" t="n">
        <x:v>6</x:v>
      </x:c>
      <x:c r="D18" s="55" t="n">
        <x:v>1</x:v>
      </x:c>
      <x:c r="E18" s="55" t="n">
        <x:v>2</x:v>
      </x:c>
      <x:c r="F18" s="46" t="str">
        <x:v>1단계 공격</x:v>
      </x:c>
      <x:c r="G18" s="46" t="str">
        <x:v>1단계 방어</x:v>
      </x:c>
      <x:c r="H18" s="47" t="n">
        <x:f>IFERROR(INDEX(Enemies!$E$5:$E$16,MATCH($B18,Enemies!$A$5:$A$16,0)),"")</x:f>
        <x:v>32</x:v>
      </x:c>
      <x:c r="I18" s="47" t="n">
        <x:f>IFERROR(INDEX(Skills!$H$5:$H$10,MATCH($F18,Skills!$B$5:$B$10,0)),0)</x:f>
        <x:v>5</x:v>
      </x:c>
      <x:c r="J18" s="47" t="n">
        <x:f>IF(OR($H18="",$I18&lt;=0),"",CEILING($H18/$I18,1))</x:f>
        <x:v>7</x:v>
      </x:c>
      <x:c r="K18" s="47" t="n">
        <x:f>IFERROR(INDEX(Enemies!$S$5:$S$16,MATCH($B18,Enemies!$A$5:$A$16,0)),0)</x:f>
        <x:v>2.666666666666667</x:v>
      </x:c>
      <x:c r="L18" s="47" t="n">
        <x:f>IFERROR(INDEX(Skills!$I$5:$I$10,MATCH($G18,Skills!$B$5:$B$10,0)),0)</x:f>
        <x:v>3</x:v>
      </x:c>
      <x:c r="M18" s="47" t="n">
        <x:f>MAX(0,$C18*$K18-$C18*$L18)</x:f>
        <x:v>0</x:v>
      </x:c>
      <x:c r="N18" s="49" t="n">
        <x:f>IF(Inputs!$B$4&gt;0,$M18/Inputs!$B$4,0)</x:f>
        <x:v>0</x:v>
      </x:c>
      <x:c r="O18" s="48" t="n">
        <x:f>MAX(Inputs!$B$16,IFERROR(INDEX(Enemies!$I$5:$I$16,MATCH($B18,Enemies!$A$5:$A$16,0)),0)*Inputs!$B$12+$D18*Inputs!$B$13+$E18*Inputs!$B$14-$C18*Inputs!$B$15)</x:f>
        <x:v>70</x:v>
      </x:c>
      <x:c r="P18" s="45" t="str">
        <x:f>IF($J18="","스킬 확인",IF($C18&lt;$J18,"공격 부족",IF($N18&gt;=1,"위험",IF($N18&gt;=0.6,"주의","OK"))))</x:f>
        <x:v>공격 부족</x:v>
      </x:c>
      <x:c r="Q18" s="45" t="str"/>
    </x:row>
    <x:row r="19">
      <x:c r="A19" s="48" t="n">
        <x:v>15</x:v>
      </x:c>
      <x:c r="B19" s="55" t="str">
        <x:v>공포 파수꾼</x:v>
      </x:c>
      <x:c r="C19" s="55" t="n">
        <x:v>6</x:v>
      </x:c>
      <x:c r="D19" s="55" t="n">
        <x:v>2</x:v>
      </x:c>
      <x:c r="E19" s="55" t="n">
        <x:v>0</x:v>
      </x:c>
      <x:c r="F19" s="46" t="str">
        <x:v>1단계 공격</x:v>
      </x:c>
      <x:c r="G19" s="46" t="str">
        <x:v>1단계 방어</x:v>
      </x:c>
      <x:c r="H19" s="47" t="n">
        <x:f>IFERROR(INDEX(Enemies!$E$5:$E$16,MATCH($B19,Enemies!$A$5:$A$16,0)),"")</x:f>
        <x:v>32</x:v>
      </x:c>
      <x:c r="I19" s="47" t="n">
        <x:f>IFERROR(INDEX(Skills!$H$5:$H$10,MATCH($F19,Skills!$B$5:$B$10,0)),0)</x:f>
        <x:v>5</x:v>
      </x:c>
      <x:c r="J19" s="47" t="n">
        <x:f>IF(OR($H19="",$I19&lt;=0),"",CEILING($H19/$I19,1))</x:f>
        <x:v>7</x:v>
      </x:c>
      <x:c r="K19" s="47" t="n">
        <x:f>IFERROR(INDEX(Enemies!$S$5:$S$16,MATCH($B19,Enemies!$A$5:$A$16,0)),0)</x:f>
        <x:v>0.6666666666666667</x:v>
      </x:c>
      <x:c r="L19" s="47" t="n">
        <x:f>IFERROR(INDEX(Skills!$I$5:$I$10,MATCH($G19,Skills!$B$5:$B$10,0)),0)</x:f>
        <x:v>3</x:v>
      </x:c>
      <x:c r="M19" s="47" t="n">
        <x:f>MAX(0,$C19*$K19-$C19*$L19)</x:f>
        <x:v>0</x:v>
      </x:c>
      <x:c r="N19" s="49" t="n">
        <x:f>IF(Inputs!$B$4&gt;0,$M19/Inputs!$B$4,0)</x:f>
        <x:v>0</x:v>
      </x:c>
      <x:c r="O19" s="48" t="n">
        <x:f>MAX(Inputs!$B$16,IFERROR(INDEX(Enemies!$I$5:$I$16,MATCH($B19,Enemies!$A$5:$A$16,0)),0)*Inputs!$B$12+$D19*Inputs!$B$13+$E19*Inputs!$B$14-$C19*Inputs!$B$15)</x:f>
        <x:v>80</x:v>
      </x:c>
      <x:c r="P19" s="45" t="str">
        <x:f>IF($J19="","스킬 확인",IF($C19&lt;$J19,"공격 부족",IF($N19&gt;=1,"위험",IF($N19&gt;=0.6,"주의","OK"))))</x:f>
        <x:v>공격 부족</x:v>
      </x:c>
      <x:c r="Q19" s="45" t="str"/>
    </x:row>
    <x:row r="20">
      <x:c r="A20" s="48" t="n">
        <x:v>16</x:v>
      </x:c>
      <x:c r="B20" s="55" t="str">
        <x:v>암흑 파수꾼</x:v>
      </x:c>
      <x:c r="C20" s="55" t="n">
        <x:v>6</x:v>
      </x:c>
      <x:c r="D20" s="55" t="n">
        <x:v>0</x:v>
      </x:c>
      <x:c r="E20" s="55" t="n">
        <x:v>2</x:v>
      </x:c>
      <x:c r="F20" s="46" t="str">
        <x:v>2단계 공격</x:v>
      </x:c>
      <x:c r="G20" s="46" t="str">
        <x:v>1단계 방어</x:v>
      </x:c>
      <x:c r="H20" s="47" t="n">
        <x:f>IFERROR(INDEX(Enemies!$E$5:$E$16,MATCH($B20,Enemies!$A$5:$A$16,0)),"")</x:f>
        <x:v>32</x:v>
      </x:c>
      <x:c r="I20" s="47" t="n">
        <x:f>IFERROR(INDEX(Skills!$H$5:$H$10,MATCH($F20,Skills!$B$5:$B$10,0)),0)</x:f>
        <x:v>6</x:v>
      </x:c>
      <x:c r="J20" s="47" t="n">
        <x:f>IF(OR($H20="",$I20&lt;=0),"",CEILING($H20/$I20,1))</x:f>
        <x:v>6</x:v>
      </x:c>
      <x:c r="K20" s="47" t="n">
        <x:f>IFERROR(INDEX(Enemies!$S$5:$S$16,MATCH($B20,Enemies!$A$5:$A$16,0)),0)</x:f>
        <x:v>0.6666666666666667</x:v>
      </x:c>
      <x:c r="L20" s="47" t="n">
        <x:f>IFERROR(INDEX(Skills!$I$5:$I$10,MATCH($G20,Skills!$B$5:$B$10,0)),0)</x:f>
        <x:v>3</x:v>
      </x:c>
      <x:c r="M20" s="47" t="n">
        <x:f>MAX(0,$C20*$K20-$C20*$L20)</x:f>
        <x:v>0</x:v>
      </x:c>
      <x:c r="N20" s="49" t="n">
        <x:f>IF(Inputs!$B$4&gt;0,$M20/Inputs!$B$4,0)</x:f>
        <x:v>0</x:v>
      </x:c>
      <x:c r="O20" s="48" t="n">
        <x:f>MAX(Inputs!$B$16,IFERROR(INDEX(Enemies!$I$5:$I$16,MATCH($B20,Enemies!$A$5:$A$16,0)),0)*Inputs!$B$12+$D20*Inputs!$B$13+$E20*Inputs!$B$14-$C20*Inputs!$B$15)</x:f>
        <x:v>50</x:v>
      </x:c>
      <x:c r="P20" s="45" t="str">
        <x:f>IF($J20="","스킬 확인",IF($C20&lt;$J20,"공격 부족",IF($N20&gt;=1,"위험",IF($N20&gt;=0.6,"주의","OK"))))</x:f>
        <x:v>OK</x:v>
      </x:c>
      <x:c r="Q20" s="45" t="str"/>
    </x:row>
    <x:row r="21">
      <x:c r="A21" s="48" t="n">
        <x:v>17</x:v>
      </x:c>
      <x:c r="B21" s="55" t="str">
        <x:v>황혼 추적자</x:v>
      </x:c>
      <x:c r="C21" s="55" t="n">
        <x:v>6</x:v>
      </x:c>
      <x:c r="D21" s="55" t="n">
        <x:v>1</x:v>
      </x:c>
      <x:c r="E21" s="55" t="n">
        <x:v>0</x:v>
      </x:c>
      <x:c r="F21" s="46" t="str">
        <x:v>1단계 공격</x:v>
      </x:c>
      <x:c r="G21" s="46" t="str">
        <x:v>2단계 방어</x:v>
      </x:c>
      <x:c r="H21" s="47" t="n">
        <x:f>IFERROR(INDEX(Enemies!$E$5:$E$16,MATCH($B21,Enemies!$A$5:$A$16,0)),"")</x:f>
        <x:v>32</x:v>
      </x:c>
      <x:c r="I21" s="47" t="n">
        <x:f>IFERROR(INDEX(Skills!$H$5:$H$10,MATCH($F21,Skills!$B$5:$B$10,0)),0)</x:f>
        <x:v>5</x:v>
      </x:c>
      <x:c r="J21" s="47" t="n">
        <x:f>IF(OR($H21="",$I21&lt;=0),"",CEILING($H21/$I21,1))</x:f>
        <x:v>7</x:v>
      </x:c>
      <x:c r="K21" s="47" t="n">
        <x:f>IFERROR(INDEX(Enemies!$S$5:$S$16,MATCH($B21,Enemies!$A$5:$A$16,0)),0)</x:f>
        <x:v>1.666666666666667</x:v>
      </x:c>
      <x:c r="L21" s="47" t="n">
        <x:f>IFERROR(INDEX(Skills!$I$5:$I$10,MATCH($G21,Skills!$B$5:$B$10,0)),0)</x:f>
        <x:v>4</x:v>
      </x:c>
      <x:c r="M21" s="47" t="n">
        <x:f>MAX(0,$C21*$K21-$C21*$L21)</x:f>
        <x:v>0</x:v>
      </x:c>
      <x:c r="N21" s="49" t="n">
        <x:f>IF(Inputs!$B$4&gt;0,$M21/Inputs!$B$4,0)</x:f>
        <x:v>0</x:v>
      </x:c>
      <x:c r="O21" s="48" t="n">
        <x:f>MAX(Inputs!$B$16,IFERROR(INDEX(Enemies!$I$5:$I$16,MATCH($B21,Enemies!$A$5:$A$16,0)),0)*Inputs!$B$12+$D21*Inputs!$B$13+$E21*Inputs!$B$14-$C21*Inputs!$B$15)</x:f>
        <x:v>60</x:v>
      </x:c>
      <x:c r="P21" s="45" t="str">
        <x:f>IF($J21="","스킬 확인",IF($C21&lt;$J21,"공격 부족",IF($N21&gt;=1,"위험",IF($N21&gt;=0.6,"주의","OK"))))</x:f>
        <x:v>공격 부족</x:v>
      </x:c>
      <x:c r="Q21" s="45" t="str"/>
    </x:row>
    <x:row r="22">
      <x:c r="A22" s="48" t="n">
        <x:v>18</x:v>
      </x:c>
      <x:c r="B22" s="55" t="str">
        <x:v>그림자 추적자</x:v>
      </x:c>
      <x:c r="C22" s="55" t="n">
        <x:v>6</x:v>
      </x:c>
      <x:c r="D22" s="55" t="n">
        <x:v>2</x:v>
      </x:c>
      <x:c r="E22" s="55" t="n">
        <x:v>2</x:v>
      </x:c>
      <x:c r="F22" s="46" t="str">
        <x:v>1단계 공격</x:v>
      </x:c>
      <x:c r="G22" s="46" t="str">
        <x:v>1단계 방어</x:v>
      </x:c>
      <x:c r="H22" s="47" t="n">
        <x:f>IFERROR(INDEX(Enemies!$E$5:$E$16,MATCH($B22,Enemies!$A$5:$A$16,0)),"")</x:f>
        <x:v>32</x:v>
      </x:c>
      <x:c r="I22" s="47" t="n">
        <x:f>IFERROR(INDEX(Skills!$H$5:$H$10,MATCH($F22,Skills!$B$5:$B$10,0)),0)</x:f>
        <x:v>5</x:v>
      </x:c>
      <x:c r="J22" s="47" t="n">
        <x:f>IF(OR($H22="",$I22&lt;=0),"",CEILING($H22/$I22,1))</x:f>
        <x:v>7</x:v>
      </x:c>
      <x:c r="K22" s="47" t="n">
        <x:f>IFERROR(INDEX(Enemies!$S$5:$S$16,MATCH($B22,Enemies!$A$5:$A$16,0)),0)</x:f>
        <x:v>1.666666666666667</x:v>
      </x:c>
      <x:c r="L22" s="47" t="n">
        <x:f>IFERROR(INDEX(Skills!$I$5:$I$10,MATCH($G22,Skills!$B$5:$B$10,0)),0)</x:f>
        <x:v>3</x:v>
      </x:c>
      <x:c r="M22" s="47" t="n">
        <x:f>MAX(0,$C22*$K22-$C22*$L22)</x:f>
        <x:v>0</x:v>
      </x:c>
      <x:c r="N22" s="49" t="n">
        <x:f>IF(Inputs!$B$4&gt;0,$M22/Inputs!$B$4,0)</x:f>
        <x:v>0</x:v>
      </x:c>
      <x:c r="O22" s="48" t="n">
        <x:f>MAX(Inputs!$B$16,IFERROR(INDEX(Enemies!$I$5:$I$16,MATCH($B22,Enemies!$A$5:$A$16,0)),0)*Inputs!$B$12+$D22*Inputs!$B$13+$E22*Inputs!$B$14-$C22*Inputs!$B$15)</x:f>
        <x:v>90</x:v>
      </x:c>
      <x:c r="P22" s="45" t="str">
        <x:f>IF($J22="","스킬 확인",IF($C22&lt;$J22,"공격 부족",IF($N22&gt;=1,"위험",IF($N22&gt;=0.6,"주의","OK"))))</x:f>
        <x:v>공격 부족</x:v>
      </x:c>
      <x:c r="Q22" s="45" t="str"/>
    </x:row>
    <x:row r="23">
      <x:c r="A23" s="48" t="n">
        <x:v>19</x:v>
      </x:c>
      <x:c r="B23" s="55" t="str">
        <x:v>분노의 발톱</x:v>
      </x:c>
      <x:c r="C23" s="55" t="n">
        <x:v>6</x:v>
      </x:c>
      <x:c r="D23" s="55" t="n">
        <x:v>0</x:v>
      </x:c>
      <x:c r="E23" s="55" t="n">
        <x:v>0</x:v>
      </x:c>
      <x:c r="F23" s="46" t="str">
        <x:v>2단계 공격</x:v>
      </x:c>
      <x:c r="G23" s="46" t="str">
        <x:v>1단계 방어</x:v>
      </x:c>
      <x:c r="H23" s="47" t="n">
        <x:f>IFERROR(INDEX(Enemies!$E$5:$E$16,MATCH($B23,Enemies!$A$5:$A$16,0)),"")</x:f>
        <x:v>32</x:v>
      </x:c>
      <x:c r="I23" s="47" t="n">
        <x:f>IFERROR(INDEX(Skills!$H$5:$H$10,MATCH($F23,Skills!$B$5:$B$10,0)),0)</x:f>
        <x:v>6</x:v>
      </x:c>
      <x:c r="J23" s="47" t="n">
        <x:f>IF(OR($H23="",$I23&lt;=0),"",CEILING($H23/$I23,1))</x:f>
        <x:v>6</x:v>
      </x:c>
      <x:c r="K23" s="47" t="n">
        <x:f>IFERROR(INDEX(Enemies!$S$5:$S$16,MATCH($B23,Enemies!$A$5:$A$16,0)),0)</x:f>
        <x:v>2.666666666666667</x:v>
      </x:c>
      <x:c r="L23" s="47" t="n">
        <x:f>IFERROR(INDEX(Skills!$I$5:$I$10,MATCH($G23,Skills!$B$5:$B$10,0)),0)</x:f>
        <x:v>3</x:v>
      </x:c>
      <x:c r="M23" s="47" t="n">
        <x:f>MAX(0,$C23*$K23-$C23*$L23)</x:f>
        <x:v>0</x:v>
      </x:c>
      <x:c r="N23" s="49" t="n">
        <x:f>IF(Inputs!$B$4&gt;0,$M23/Inputs!$B$4,0)</x:f>
        <x:v>0</x:v>
      </x:c>
      <x:c r="O23" s="48" t="n">
        <x:f>MAX(Inputs!$B$16,IFERROR(INDEX(Enemies!$I$5:$I$16,MATCH($B23,Enemies!$A$5:$A$16,0)),0)*Inputs!$B$12+$D23*Inputs!$B$13+$E23*Inputs!$B$14-$C23*Inputs!$B$15)</x:f>
        <x:v>40</x:v>
      </x:c>
      <x:c r="P23" s="45" t="str">
        <x:f>IF($J23="","스킬 확인",IF($C23&lt;$J23,"공격 부족",IF($N23&gt;=1,"위험",IF($N23&gt;=0.6,"주의","OK"))))</x:f>
        <x:v>OK</x:v>
      </x:c>
      <x:c r="Q23" s="45" t="str"/>
    </x:row>
    <x:row r="24">
      <x:c r="A24" s="48" t="n">
        <x:v>20</x:v>
      </x:c>
      <x:c r="B24" s="55" t="str">
        <x:v>칠흑 방패</x:v>
      </x:c>
      <x:c r="C24" s="55" t="n">
        <x:v>6</x:v>
      </x:c>
      <x:c r="D24" s="55" t="n">
        <x:v>1</x:v>
      </x:c>
      <x:c r="E24" s="55" t="n">
        <x:v>2</x:v>
      </x:c>
      <x:c r="F24" s="46" t="str">
        <x:v>1단계 공격</x:v>
      </x:c>
      <x:c r="G24" s="46" t="str">
        <x:v>1단계 방어</x:v>
      </x:c>
      <x:c r="H24" s="47" t="n">
        <x:f>IFERROR(INDEX(Enemies!$E$5:$E$16,MATCH($B24,Enemies!$A$5:$A$16,0)),"")</x:f>
        <x:v>32</x:v>
      </x:c>
      <x:c r="I24" s="47" t="n">
        <x:f>IFERROR(INDEX(Skills!$H$5:$H$10,MATCH($F24,Skills!$B$5:$B$10,0)),0)</x:f>
        <x:v>5</x:v>
      </x:c>
      <x:c r="J24" s="47" t="n">
        <x:f>IF(OR($H24="",$I24&lt;=0),"",CEILING($H24/$I24,1))</x:f>
        <x:v>7</x:v>
      </x:c>
      <x:c r="K24" s="47" t="n">
        <x:f>IFERROR(INDEX(Enemies!$S$5:$S$16,MATCH($B24,Enemies!$A$5:$A$16,0)),0)</x:f>
        <x:v>0.6666666666666667</x:v>
      </x:c>
      <x:c r="L24" s="47" t="n">
        <x:f>IFERROR(INDEX(Skills!$I$5:$I$10,MATCH($G24,Skills!$B$5:$B$10,0)),0)</x:f>
        <x:v>3</x:v>
      </x:c>
      <x:c r="M24" s="47" t="n">
        <x:f>MAX(0,$C24*$K24-$C24*$L24)</x:f>
        <x:v>0</x:v>
      </x:c>
      <x:c r="N24" s="49" t="n">
        <x:f>IF(Inputs!$B$4&gt;0,$M24/Inputs!$B$4,0)</x:f>
        <x:v>0</x:v>
      </x:c>
      <x:c r="O24" s="48" t="n">
        <x:f>MAX(Inputs!$B$16,IFERROR(INDEX(Enemies!$I$5:$I$16,MATCH($B24,Enemies!$A$5:$A$16,0)),0)*Inputs!$B$12+$D24*Inputs!$B$13+$E24*Inputs!$B$14-$C24*Inputs!$B$15)</x:f>
        <x:v>70</x:v>
      </x:c>
      <x:c r="P24" s="45" t="str">
        <x:f>IF($J24="","스킬 확인",IF($C24&lt;$J24,"공격 부족",IF($N24&gt;=1,"위험",IF($N24&gt;=0.6,"주의","OK"))))</x:f>
        <x:v>공격 부족</x:v>
      </x:c>
      <x:c r="Q24" s="45" t="str"/>
    </x:row>
  </x:sheetData>
  <x:mergeCells>
    <x:mergeCell ref="A1:Q1"/>
    <x:mergeCell ref="A2:H2"/>
  </x:mergeCells>
  <x:conditionalFormatting sqref="P5:P24">
    <x:cfRule type="containsText" dxfId="1" priority="1" operator="containsText" text="OK"/>
    <x:cfRule type="containsText" dxfId="2" priority="2" operator="containsText" text="주의"/>
    <x:cfRule type="containsText" dxfId="3" priority="3" operator="containsText" text="위험"/>
    <x:cfRule type="containsText" dxfId="4" priority="4" operator="containsText" text="공격 부족"/>
  </x:conditionalFormatting>
  <x:dataValidations count="3">
    <x:dataValidation type="list" sqref="B5:B40">
      <x:formula1>Lists!$E$2:$E$13</x:formula1>
    </x:dataValidation>
    <x:dataValidation type="list" sqref="F5:F40">
      <x:formula1>Lists!$F$2:$F$7</x:formula1>
    </x:dataValidation>
    <x:dataValidation type="list" sqref="G5:G40">
      <x:formula1>Lists!$F$2:$F$7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56cf3bde1c41d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1999969482422" hidden="0" customWidth="1"/>
    <x:col min="2" max="2" width="16.81999969482422" hidden="0" customWidth="1"/>
    <x:col min="3" max="3" width="12.789999961853027" hidden="0" customWidth="1"/>
    <x:col min="4" max="4" width="12.109999656677246" hidden="0" customWidth="1"/>
    <x:col min="5" max="5" width="12.109999656677246" hidden="0" customWidth="1"/>
    <x:col min="6" max="6" width="16.149999618530273" hidden="0" customWidth="1"/>
    <x:col min="7" max="7" width="39.70000076293945" hidden="0" customWidth="1"/>
    <x:col min="8" max="8" width="3.359999895095825" hidden="0" customWidth="1"/>
  </x:cols>
  <x:sheetData>
    <x:row r="1" ht="25.5" customHeight="1">
      <x:c r="A1" s="61" t="str">
        <x:v>보상 / 점수 룰</x:v>
      </x:c>
      <x:c r="B1" s="61" t="str">
        <x:v>보상 / 점수 룰</x:v>
      </x:c>
      <x:c r="C1" s="61" t="str">
        <x:v>보상 / 점수 룰</x:v>
      </x:c>
      <x:c r="D1" s="61" t="str">
        <x:v>보상 / 점수 룰</x:v>
      </x:c>
      <x:c r="E1" s="61" t="str">
        <x:v>보상 / 점수 룰</x:v>
      </x:c>
      <x:c r="F1" s="61" t="str">
        <x:v>보상 / 점수 룰</x:v>
      </x:c>
      <x:c r="G1" s="61" t="str">
        <x:v>보상 / 점수 룰</x:v>
      </x:c>
      <x:c r="H1" s="61" t="str">
        <x:v>보상 / 점수 룰</x:v>
      </x:c>
    </x:row>
    <x:row r="2" ht="19.5" customHeight="1">
      <x:c r="A2" s="41" t="str">
        <x:v>보상 선택지와 점수 공식을 함께 점검하는 시트입니다.</x:v>
      </x:c>
      <x:c r="B2" s="41" t="str">
        <x:v>보상 선택지와 점수 공식을 함께 점검하는 시트입니다.</x:v>
      </x:c>
      <x:c r="C2" s="41" t="str">
        <x:v>보상 선택지와 점수 공식을 함께 점검하는 시트입니다.</x:v>
      </x:c>
      <x:c r="D2" s="41" t="str">
        <x:v>보상 선택지와 점수 공식을 함께 점검하는 시트입니다.</x:v>
      </x:c>
      <x:c r="E2" s="41" t="str">
        <x:v>보상 선택지와 점수 공식을 함께 점검하는 시트입니다.</x:v>
      </x:c>
      <x:c r="F2" s="41" t="str">
        <x:v>보상 선택지와 점수 공식을 함께 점검하는 시트입니다.</x:v>
      </x:c>
      <x:c r="G2" s="41" t="str">
        <x:v>보상 선택지와 점수 공식을 함께 점검하는 시트입니다.</x:v>
      </x:c>
      <x:c r="H2" s="41" t="str">
        <x:v>보상 선택지와 점수 공식을 함께 점검하는 시트입니다.</x:v>
      </x:c>
    </x:row>
    <x:row r="3">
      <x:c r="A3" s="44" t="str">
        <x:v>보상 테이블</x:v>
      </x:c>
      <x:c r="B3" s="44" t="str">
        <x:v>보상 테이블</x:v>
      </x:c>
      <x:c r="C3" s="44" t="str">
        <x:v>보상 테이블</x:v>
      </x:c>
      <x:c r="D3" s="44" t="str">
        <x:v>보상 테이블</x:v>
      </x:c>
      <x:c r="E3" s="44" t="str">
        <x:v>보상 테이블</x:v>
      </x:c>
      <x:c r="F3" s="44" t="str">
        <x:v>보상 테이블</x:v>
      </x:c>
      <x:c r="G3" s="44" t="str">
        <x:v>보상 테이블</x:v>
      </x:c>
      <x:c r="H3" s="51"/>
    </x:row>
    <x:row r="4">
      <x:c r="A4" s="50" t="str">
        <x:v>Reward ID</x:v>
      </x:c>
      <x:c r="B4" s="50" t="str">
        <x:v>Display Name</x:v>
      </x:c>
      <x:c r="C4" s="50" t="str">
        <x:v>Heal % Max HP</x:v>
      </x:c>
      <x:c r="D4" s="50" t="str">
        <x:v>Extra Move</x:v>
      </x:c>
      <x:c r="E4" s="50" t="str">
        <x:v>Rest Heal</x:v>
      </x:c>
      <x:c r="F4" s="50" t="str">
        <x:v>Move After Enhance</x:v>
      </x:c>
      <x:c r="G4" s="50" t="str">
        <x:v>Encounter Text</x:v>
      </x:c>
      <x:c r="H4" s="51"/>
    </x:row>
    <x:row r="5">
      <x:c r="A5" s="45" t="str">
        <x:v>moth-basic</x:v>
      </x:c>
      <x:c r="B5" s="45" t="str">
        <x:v>나방</x:v>
      </x:c>
      <x:c r="C5" s="59" t="n">
        <x:v>0.3</x:v>
      </x:c>
      <x:c r="D5" s="55" t="n">
        <x:v>1</x:v>
      </x:c>
      <x:c r="E5" s="48" t="n">
        <x:f>ROUND(Inputs!$B$4*$C5,0)</x:f>
        <x:v>9</x:v>
      </x:c>
      <x:c r="F5" s="48" t="n">
        <x:f>Inputs!$B$6+Inputs!$B$7+$D5</x:f>
        <x:v>5</x:v>
      </x:c>
      <x:c r="G5" s="45" t="str">
        <x:v>조력자가 다음 전투를 준비할 기회를 줍니다.</x:v>
      </x:c>
      <x:c r="H5" s="51"/>
    </x:row>
    <x:row r="6">
      <x:c r="A6" s="51"/>
      <x:c r="B6" s="51"/>
      <x:c r="C6" s="51"/>
      <x:c r="D6" s="51"/>
      <x:c r="E6" s="51"/>
      <x:c r="F6" s="51"/>
      <x:c r="G6" s="51"/>
      <x:c r="H6" s="51"/>
    </x:row>
    <x:row r="7">
      <x:c r="A7" s="51"/>
      <x:c r="B7" s="51"/>
      <x:c r="C7" s="51"/>
      <x:c r="D7" s="51"/>
      <x:c r="E7" s="51"/>
      <x:c r="F7" s="51"/>
      <x:c r="G7" s="51"/>
      <x:c r="H7" s="51"/>
    </x:row>
    <x:row r="8">
      <x:c r="A8" s="44" t="str">
        <x:v>점수 시나리오</x:v>
      </x:c>
      <x:c r="B8" s="44" t="str">
        <x:v>점수 시나리오</x:v>
      </x:c>
      <x:c r="C8" s="44" t="str">
        <x:v>점수 시나리오</x:v>
      </x:c>
      <x:c r="D8" s="44" t="str">
        <x:v>점수 시나리오</x:v>
      </x:c>
      <x:c r="E8" s="44" t="str">
        <x:v>점수 시나리오</x:v>
      </x:c>
      <x:c r="F8" s="44" t="str">
        <x:v>점수 시나리오</x:v>
      </x:c>
      <x:c r="G8" s="51"/>
      <x:c r="H8" s="51"/>
    </x:row>
    <x:row r="9">
      <x:c r="A9" s="50" t="str">
        <x:v>Scenario</x:v>
      </x:c>
      <x:c r="B9" s="50" t="str">
        <x:v>Difficulty</x:v>
      </x:c>
      <x:c r="C9" s="50" t="str">
        <x:v>Remaining Moves</x:v>
      </x:c>
      <x:c r="D9" s="50" t="str">
        <x:v>OverCost</x:v>
      </x:c>
      <x:c r="E9" s="50" t="str">
        <x:v>Turn Count</x:v>
      </x:c>
      <x:c r="F9" s="50" t="str">
        <x:v>Score</x:v>
      </x:c>
      <x:c r="G9" s="51"/>
      <x:c r="H9" s="51"/>
    </x:row>
    <x:row r="10">
      <x:c r="A10" s="45" t="str">
        <x:v>빠른 승리</x:v>
      </x:c>
      <x:c r="B10" s="55" t="n">
        <x:v>1</x:v>
      </x:c>
      <x:c r="C10" s="55" t="n">
        <x:v>2</x:v>
      </x:c>
      <x:c r="D10" s="55" t="n">
        <x:v>0</x:v>
      </x:c>
      <x:c r="E10" s="55" t="n">
        <x:v>3</x:v>
      </x:c>
      <x:c r="F10" s="48" t="n">
        <x:f>MAX(Inputs!$B$16,$B10*Inputs!$B$12+$C10*Inputs!$B$13+$D10*Inputs!$B$14-$E10*Inputs!$B$15)</x:f>
        <x:v>110</x:v>
      </x:c>
      <x:c r="G10" s="51"/>
      <x:c r="H10" s="51"/>
    </x:row>
    <x:row r="11">
      <x:c r="A11" s="45" t="str">
        <x:v>표준 승리</x:v>
      </x:c>
      <x:c r="B11" s="55" t="n">
        <x:v>1</x:v>
      </x:c>
      <x:c r="C11" s="55" t="n">
        <x:v>1</x:v>
      </x:c>
      <x:c r="D11" s="55" t="n">
        <x:v>2</x:v>
      </x:c>
      <x:c r="E11" s="55" t="n">
        <x:v>6</x:v>
      </x:c>
      <x:c r="F11" s="48" t="n">
        <x:f>MAX(Inputs!$B$16,$B11*Inputs!$B$12+$C11*Inputs!$B$13+$D11*Inputs!$B$14-$E11*Inputs!$B$15)</x:f>
        <x:v>70</x:v>
      </x:c>
      <x:c r="G11" s="51"/>
      <x:c r="H11" s="51"/>
    </x:row>
    <x:row r="12">
      <x:c r="A12" s="45" t="str">
        <x:v>고난도 빠른 승리</x:v>
      </x:c>
      <x:c r="B12" s="55" t="n">
        <x:v>2</x:v>
      </x:c>
      <x:c r="C12" s="55" t="n">
        <x:v>2</x:v>
      </x:c>
      <x:c r="D12" s="55" t="n">
        <x:v>0</x:v>
      </x:c>
      <x:c r="E12" s="55" t="n">
        <x:v>5</x:v>
      </x:c>
      <x:c r="F12" s="48" t="n">
        <x:f>MAX(Inputs!$B$16,$B12*Inputs!$B$12+$C12*Inputs!$B$13+$D12*Inputs!$B$14-$E12*Inputs!$B$15)</x:f>
        <x:v>190</x:v>
      </x:c>
      <x:c r="G12" s="51"/>
      <x:c r="H12" s="51"/>
    </x:row>
    <x:row r="13">
      <x:c r="A13" s="45" t="str">
        <x:v>고난도 장기전</x:v>
      </x:c>
      <x:c r="B13" s="55" t="n">
        <x:v>2</x:v>
      </x:c>
      <x:c r="C13" s="55" t="n">
        <x:v>0</x:v>
      </x:c>
      <x:c r="D13" s="55" t="n">
        <x:v>4</x:v>
      </x:c>
      <x:c r="E13" s="55" t="n">
        <x:v>9</x:v>
      </x:c>
      <x:c r="F13" s="48" t="n">
        <x:f>MAX(Inputs!$B$16,$B13*Inputs!$B$12+$C13*Inputs!$B$13+$D13*Inputs!$B$14-$E13*Inputs!$B$15)</x:f>
        <x:v>130</x:v>
      </x:c>
      <x:c r="G13" s="51"/>
      <x:c r="H13" s="51"/>
    </x:row>
  </x:sheetData>
  <x:mergeCells>
    <x:mergeCell ref="A1:H1"/>
    <x:mergeCell ref="A2:H2"/>
    <x:mergeCell ref="A3:G3"/>
    <x:mergeCell ref="A8:F8"/>
  </x:mergeCells>
  <x:pageMargins left="0.7" right="0.7" top="0.75" bottom="0.75" header="0.3" footer="0.3"/>
  <x:drawing xmlns:r="http://schemas.openxmlformats.org/officeDocument/2006/relationships" r:id="R050b58a3c4174d64"/>
  <x:tableParts count="2">
    <x:tablePart xmlns:r="http://schemas.openxmlformats.org/officeDocument/2006/relationships" r:id="R99eba79cbbd9466c"/>
    <x:tablePart xmlns:r="http://schemas.openxmlformats.org/officeDocument/2006/relationships" r:id="Rfc045e458ef14e35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549999237060547" hidden="0" customWidth="1"/>
    <x:col min="2" max="2" width="19.520000457763672" hidden="0" customWidth="1"/>
    <x:col min="3" max="3" width="24.899999618530273" hidden="0" customWidth="1"/>
    <x:col min="4" max="4" width="45.09000015258789" hidden="0" customWidth="1"/>
    <x:col min="5" max="5" width="43.7400016784668" hidden="0" customWidth="1"/>
    <x:col min="6" max="6" width="27.59000015258789" hidden="0" customWidth="1"/>
  </x:cols>
  <x:sheetData>
    <x:row r="1" ht="25.5" customHeight="1">
      <x:c r="A1" s="61" t="str">
        <x:v>개발 전달 메모</x:v>
      </x:c>
      <x:c r="B1" s="61" t="str">
        <x:v>개발 전달 메모</x:v>
      </x:c>
      <x:c r="C1" s="61" t="str">
        <x:v>개발 전달 메모</x:v>
      </x:c>
      <x:c r="D1" s="61" t="str">
        <x:v>개발 전달 메모</x:v>
      </x:c>
      <x:c r="E1" s="61" t="str">
        <x:v>개발 전달 메모</x:v>
      </x:c>
      <x:c r="F1" s="61" t="str">
        <x:v>개발 전달 메모</x:v>
      </x:c>
      <x:c r="G1" s="51"/>
      <x:c r="H1" s="51"/>
    </x:row>
    <x:row r="2" ht="19.5" customHeight="1">
      <x:c r="A2" s="41" t="str">
        <x:v>기획 변경 요청을 정리해서 개발자에게 넘기는 탭입니다.</x:v>
      </x:c>
      <x:c r="B2" s="41" t="str">
        <x:v>기획 변경 요청을 정리해서 개발자에게 넘기는 탭입니다.</x:v>
      </x:c>
      <x:c r="C2" s="41" t="str">
        <x:v>기획 변경 요청을 정리해서 개발자에게 넘기는 탭입니다.</x:v>
      </x:c>
      <x:c r="D2" s="41" t="str">
        <x:v>기획 변경 요청을 정리해서 개발자에게 넘기는 탭입니다.</x:v>
      </x:c>
      <x:c r="E2" s="41" t="str">
        <x:v>기획 변경 요청을 정리해서 개발자에게 넘기는 탭입니다.</x:v>
      </x:c>
      <x:c r="F2" s="41" t="str">
        <x:v>기획 변경 요청을 정리해서 개발자에게 넘기는 탭입니다.</x:v>
      </x:c>
      <x:c r="G2" s="41" t="str">
        <x:v>기획 변경 요청을 정리해서 개발자에게 넘기는 탭입니다.</x:v>
      </x:c>
      <x:c r="H2" s="41" t="str">
        <x:v>기획 변경 요청을 정리해서 개발자에게 넘기는 탭입니다.</x:v>
      </x:c>
    </x:row>
    <x:row r="3">
      <x:c r="A3" s="51"/>
      <x:c r="B3" s="51"/>
      <x:c r="C3" s="51"/>
      <x:c r="D3" s="51"/>
      <x:c r="E3" s="51"/>
      <x:c r="F3" s="51"/>
      <x:c r="G3" s="51"/>
      <x:c r="H3" s="51"/>
    </x:row>
    <x:row r="4">
      <x:c r="A4" s="50" t="str">
        <x:v>튜닝 항목</x:v>
      </x:c>
      <x:c r="B4" s="50" t="str">
        <x:v>참조 시트</x:v>
      </x:c>
      <x:c r="C4" s="50" t="str">
        <x:v>요청 값/범위</x:v>
      </x:c>
      <x:c r="D4" s="50" t="str">
        <x:v>기획 의도</x:v>
      </x:c>
      <x:c r="E4" s="50" t="str">
        <x:v>우선순위</x:v>
      </x:c>
      <x:c r="F4" s="50" t="str">
        <x:v>개발 확인</x:v>
      </x:c>
      <x:c r="G4" s="51"/>
      <x:c r="H4" s="51"/>
    </x:row>
    <x:row r="5" ht="34.5" customHeight="1">
      <x:c r="A5" s="60" t="str">
        <x:v>타일별 코스트</x:v>
      </x:c>
      <x:c r="B5" s="60" t="str">
        <x:v>TileCost</x:v>
      </x:c>
      <x:c r="C5" s="60" t="str">
        <x:v>Target Cost 변경분</x:v>
      </x:c>
      <x:c r="D5" s="60" t="str">
        <x:v>타일 성장 보상감과 스킬 사용 빈도를 조정</x:v>
      </x:c>
      <x:c r="E5" s="60" t="str">
        <x:v>Core</x:v>
      </x:c>
      <x:c r="F5" s="60" t="str"/>
      <x:c r="G5" s="51"/>
      <x:c r="H5" s="51"/>
    </x:row>
    <x:row r="6" ht="34.5" customHeight="1">
      <x:c r="A6" s="60" t="str">
        <x:v>플레이어 HP/공격/이동</x:v>
      </x:c>
      <x:c r="B6" s="60" t="str">
        <x:v>Inputs</x:v>
      </x:c>
      <x:c r="C6" s="60" t="str">
        <x:v>노란 입력 셀</x:v>
      </x:c>
      <x:c r="D6" s="60" t="str">
        <x:v>초반 생존력과 턴당 선택지를 조정</x:v>
      </x:c>
      <x:c r="E6" s="60" t="str">
        <x:v>Core</x:v>
      </x:c>
      <x:c r="F6" s="60" t="str"/>
      <x:c r="G6" s="51"/>
      <x:c r="H6" s="51"/>
    </x:row>
    <x:row r="7" ht="34.5" customHeight="1">
      <x:c r="A7" s="60" t="str">
        <x:v>스킬 코스트/위력</x:v>
      </x:c>
      <x:c r="B7" s="60" t="str">
        <x:v>Skills</x:v>
      </x:c>
      <x:c r="C7" s="60" t="str">
        <x:v>Cost / Power / Modifier</x:v>
      </x:c>
      <x:c r="D7" s="60" t="str">
        <x:v>공격/방어 효율과 선택지 간 역할 차이를 조정</x:v>
      </x:c>
      <x:c r="E7" s="60" t="str">
        <x:v>Core</x:v>
      </x:c>
      <x:c r="F7" s="60" t="str"/>
      <x:c r="G7" s="51"/>
      <x:c r="H7" s="51"/>
    </x:row>
    <x:row r="8" ht="34.5" customHeight="1">
      <x:c r="A8" s="60" t="str">
        <x:v>적 HP/공격/방어/AI</x:v>
      </x:c>
      <x:c r="B8" s="60" t="str">
        <x:v>Enemies</x:v>
      </x:c>
      <x:c r="C8" s="60" t="str">
        <x:v>HP / Attack / Defense / AI Bias</x:v>
      </x:c>
      <x:c r="D8" s="60" t="str">
        <x:v>전투 길이, 피해 압박, 디버프 체감 강도를 조정</x:v>
      </x:c>
      <x:c r="E8" s="60" t="str">
        <x:v>Core</x:v>
      </x:c>
      <x:c r="F8" s="60" t="str"/>
      <x:c r="G8" s="51"/>
      <x:c r="H8" s="51"/>
    </x:row>
    <x:row r="9" ht="34.5" customHeight="1">
      <x:c r="A9" s="60" t="str">
        <x:v>보상</x:v>
      </x:c>
      <x:c r="B9" s="60" t="str">
        <x:v>RewardsScore</x:v>
      </x:c>
      <x:c r="C9" s="60" t="str">
        <x:v>Heal % / Extra Move</x:v>
      </x:c>
      <x:c r="D9" s="60" t="str">
        <x:v>휴식과 강화 선택의 체감 가치를 조정</x:v>
      </x:c>
      <x:c r="E9" s="60" t="str">
        <x:v>Retune</x:v>
      </x:c>
      <x:c r="F9" s="60" t="str"/>
      <x:c r="G9" s="51"/>
      <x:c r="H9" s="51"/>
    </x:row>
    <x:row r="10" ht="34.5" customHeight="1">
      <x:c r="A10" s="60" t="str">
        <x:v>점수 공식</x:v>
      </x:c>
      <x:c r="B10" s="60" t="str">
        <x:v>Inputs / RewardsScore</x:v>
      </x:c>
      <x:c r="C10" s="60" t="str">
        <x:v>Score 계수</x:v>
      </x:c>
      <x:c r="D10" s="60" t="str">
        <x:v>빠른 승리, 남은 이동, 초과 코스트 보상의 비중을 조정</x:v>
      </x:c>
      <x:c r="E10" s="60" t="str">
        <x:v>Retune</x:v>
      </x:c>
      <x:c r="F10" s="60" t="str"/>
      <x:c r="G10" s="51"/>
      <x:c r="H10" s="51"/>
    </x:row>
    <x:row r="11" ht="34.5" customHeight="1">
      <x:c r="A11" s="60" t="str">
        <x:v>UX 속도감</x:v>
      </x:c>
      <x:c r="B11" s="60" t="str">
        <x:v>Inputs</x:v>
      </x:c>
      <x:c r="C11" s="60" t="str">
        <x:v>요청 메모</x:v>
      </x:c>
      <x:c r="D11" s="60" t="str">
        <x:v>전투 템포나 턴 대기감 관련 요청 사항 기록</x:v>
      </x:c>
      <x:c r="E11" s="60" t="str">
        <x:v>Test</x:v>
      </x:c>
      <x:c r="F11" s="60" t="str"/>
      <x:c r="G11" s="51"/>
      <x:c r="H11" s="51"/>
    </x:row>
  </x:sheetData>
  <x:mergeCells>
    <x:mergeCell ref="A1:F1"/>
    <x:mergeCell ref="A2:H2"/>
  </x:mergeCells>
  <x:pageMargins left="0.7" right="0.7" top="0.75" bottom="0.75" header="0.3" footer="0.3"/>
  <x:tableParts count="1">
    <x:tablePart xmlns:r="http://schemas.openxmlformats.org/officeDocument/2006/relationships" r:id="R4e05dc5a67ad4393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.130000114440918" hidden="0" customWidth="1"/>
    <x:col min="2" max="2" width="16.81999969482422" hidden="0" customWidth="1"/>
    <x:col min="3" max="3" width="19.520000457763672" hidden="0" customWidth="1"/>
    <x:col min="4" max="4" width="14.130000114440918" hidden="0" customWidth="1"/>
    <x:col min="5" max="5" width="20.860000610351562" hidden="0" customWidth="1"/>
    <x:col min="6" max="6" width="20.860000610351562" hidden="0" customWidth="1"/>
    <x:col min="7" max="7" width="12.789999961853027" hidden="0" customWidth="1"/>
    <x:col min="8" max="8" width="12.789999961853027" hidden="0" customWidth="1"/>
  </x:cols>
  <x:sheetData>
    <x:row r="1">
      <x:c r="A1" s="50" t="str">
        <x:v>SkillType</x:v>
      </x:c>
      <x:c r="B1" s="50" t="str">
        <x:v>AI Bias</x:v>
      </x:c>
      <x:c r="C1" s="50" t="str">
        <x:v>Debuff Pattern</x:v>
      </x:c>
      <x:c r="D1" s="50" t="str">
        <x:v>Strength</x:v>
      </x:c>
      <x:c r="E1" s="50" t="str">
        <x:v>Enemy Names</x:v>
      </x:c>
      <x:c r="F1" s="50" t="str">
        <x:v>Skill Names</x:v>
      </x:c>
      <x:c r="G1" s="50" t="str">
        <x:v>Sim Status</x:v>
      </x:c>
      <x:c r="H1" s="50" t="str">
        <x:v>Priority</x:v>
      </x:c>
    </x:row>
    <x:row r="2">
      <x:c r="A2" s="45" t="str">
        <x:v>Attack</x:v>
      </x:c>
      <x:c r="B2" s="45" t="str">
        <x:v>Balanced</x:v>
      </x:c>
      <x:c r="C2" s="45" t="str">
        <x:v>FearThenDarkness</x:v>
      </x:c>
      <x:c r="D2" s="45" t="str">
        <x:v>Normal</x:v>
      </x:c>
      <x:c r="E2" s="45" t="str">
        <x:v>붉은 송곳니</x:v>
      </x:c>
      <x:c r="F2" s="45" t="str">
        <x:v>1단계 공격</x:v>
      </x:c>
      <x:c r="G2" s="45" t="str">
        <x:v>OK</x:v>
      </x:c>
      <x:c r="H2" s="45" t="str">
        <x:v>Core</x:v>
      </x:c>
    </x:row>
    <x:row r="3">
      <x:c r="A3" s="45" t="str">
        <x:v>Defense</x:v>
      </x:c>
      <x:c r="B3" s="45" t="str">
        <x:v>AttackHeavy</x:v>
      </x:c>
      <x:c r="C3" s="45" t="str">
        <x:v>DarknessThenFear</x:v>
      </x:c>
      <x:c r="D3" s="45" t="str">
        <x:v>Enhanced</x:v>
      </x:c>
      <x:c r="E3" s="45" t="str">
        <x:v>검은 송곳니</x:v>
      </x:c>
      <x:c r="F3" s="45" t="str">
        <x:v>2단계 공격</x:v>
      </x:c>
      <x:c r="G3" s="45" t="str">
        <x:v>주의</x:v>
      </x:c>
      <x:c r="H3" s="45" t="str">
        <x:v>Retune</x:v>
      </x:c>
    </x:row>
    <x:row r="4">
      <x:c r="A4" s="45" t="str">
        <x:v>Debuff</x:v>
      </x:c>
      <x:c r="B4" s="45" t="str">
        <x:v>DefenseHeavy</x:v>
      </x:c>
      <x:c r="C4" s="45"/>
      <x:c r="D4" s="45"/>
      <x:c r="E4" s="45" t="str">
        <x:v>공포 파수꾼</x:v>
      </x:c>
      <x:c r="F4" s="45" t="str">
        <x:v>3단계 공격</x:v>
      </x:c>
      <x:c r="G4" s="45" t="str">
        <x:v>위험</x:v>
      </x:c>
      <x:c r="H4" s="45" t="str">
        <x:v>Test</x:v>
      </x:c>
    </x:row>
    <x:row r="5">
      <x:c r="A5" s="45"/>
      <x:c r="B5" s="45"/>
      <x:c r="C5" s="45"/>
      <x:c r="D5" s="45"/>
      <x:c r="E5" s="45" t="str">
        <x:v>암흑 파수꾼</x:v>
      </x:c>
      <x:c r="F5" s="45" t="str">
        <x:v>1단계 방어</x:v>
      </x:c>
      <x:c r="G5" s="45" t="str">
        <x:v>공격 부족</x:v>
      </x:c>
      <x:c r="H5" s="45" t="str">
        <x:v>Disabled</x:v>
      </x:c>
    </x:row>
    <x:row r="6">
      <x:c r="A6" s="45"/>
      <x:c r="B6" s="45"/>
      <x:c r="C6" s="45"/>
      <x:c r="D6" s="45"/>
      <x:c r="E6" s="45" t="str">
        <x:v>황혼 추적자</x:v>
      </x:c>
      <x:c r="F6" s="45" t="str">
        <x:v>2단계 방어</x:v>
      </x:c>
      <x:c r="G6" s="45" t="str">
        <x:v>스킬 확인</x:v>
      </x:c>
      <x:c r="H6" s="45"/>
    </x:row>
    <x:row r="7">
      <x:c r="A7" s="45"/>
      <x:c r="B7" s="45"/>
      <x:c r="C7" s="45"/>
      <x:c r="D7" s="45"/>
      <x:c r="E7" s="45" t="str">
        <x:v>그림자 추적자</x:v>
      </x:c>
      <x:c r="F7" s="45" t="str">
        <x:v>3단계 방어</x:v>
      </x:c>
      <x:c r="G7" s="45"/>
      <x:c r="H7" s="45"/>
    </x:row>
    <x:row r="8">
      <x:c r="A8" s="45"/>
      <x:c r="B8" s="45"/>
      <x:c r="C8" s="45"/>
      <x:c r="D8" s="45"/>
      <x:c r="E8" s="45" t="str">
        <x:v>분노의 발톱</x:v>
      </x:c>
      <x:c r="F8" s="45"/>
      <x:c r="G8" s="45"/>
      <x:c r="H8" s="45"/>
    </x:row>
    <x:row r="9">
      <x:c r="A9" s="45"/>
      <x:c r="B9" s="45"/>
      <x:c r="C9" s="45"/>
      <x:c r="D9" s="45"/>
      <x:c r="E9" s="45" t="str">
        <x:v>칠흑 방패</x:v>
      </x:c>
      <x:c r="F9" s="45"/>
      <x:c r="G9" s="45"/>
      <x:c r="H9" s="45"/>
    </x:row>
    <x:row r="10">
      <x:c r="A10" s="45"/>
      <x:c r="B10" s="45"/>
      <x:c r="C10" s="45"/>
      <x:c r="D10" s="45"/>
      <x:c r="E10" s="45" t="str">
        <x:v>강화 붉은 송곳니</x:v>
      </x:c>
      <x:c r="F10" s="45"/>
      <x:c r="G10" s="45"/>
      <x:c r="H10" s="45"/>
    </x:row>
    <x:row r="11">
      <x:c r="A11" s="45"/>
      <x:c r="B11" s="45"/>
      <x:c r="C11" s="45"/>
      <x:c r="D11" s="45"/>
      <x:c r="E11" s="45" t="str">
        <x:v>강화 검은 송곳니</x:v>
      </x:c>
      <x:c r="F11" s="45"/>
      <x:c r="G11" s="45"/>
      <x:c r="H11" s="45"/>
    </x:row>
    <x:row r="12">
      <x:c r="A12" s="45"/>
      <x:c r="B12" s="45"/>
      <x:c r="C12" s="45"/>
      <x:c r="D12" s="45"/>
      <x:c r="E12" s="45" t="str">
        <x:v>강화 공포 파수꾼</x:v>
      </x:c>
      <x:c r="F12" s="45"/>
      <x:c r="G12" s="45"/>
      <x:c r="H12" s="45"/>
    </x:row>
    <x:row r="13">
      <x:c r="A13" s="45"/>
      <x:c r="B13" s="45"/>
      <x:c r="C13" s="45"/>
      <x:c r="D13" s="45"/>
      <x:c r="E13" s="45" t="str">
        <x:v>강화 그림자 추적자</x:v>
      </x:c>
      <x:c r="F13" s="45"/>
      <x:c r="G13" s="45"/>
      <x:c r="H13" s="45"/>
    </x:row>
    <x:row r="14">
      <x:c r="A14" s="45"/>
      <x:c r="B14" s="45"/>
      <x:c r="C14" s="45"/>
      <x:c r="D14" s="45"/>
      <x:c r="E14" s="45"/>
      <x:c r="F14" s="45"/>
      <x:c r="G14" s="45"/>
      <x:c r="H14" s="45"/>
    </x:row>
    <x:row r="15">
      <x:c r="A15" s="45"/>
      <x:c r="B15" s="45"/>
      <x:c r="C15" s="45"/>
      <x:c r="D15" s="45"/>
      <x:c r="E15" s="45"/>
      <x:c r="F15" s="45"/>
      <x:c r="G15" s="45"/>
      <x:c r="H15" s="45"/>
    </x:row>
    <x:row r="16">
      <x:c r="A16" s="45"/>
      <x:c r="B16" s="45"/>
      <x:c r="C16" s="45"/>
      <x:c r="D16" s="45"/>
      <x:c r="E16" s="45"/>
      <x:c r="F16" s="45"/>
      <x:c r="G16" s="45"/>
      <x:c r="H16" s="45"/>
    </x:row>
    <x:row r="17">
      <x:c r="A17" s="45"/>
      <x:c r="B17" s="45"/>
      <x:c r="C17" s="45"/>
      <x:c r="D17" s="45"/>
      <x:c r="E17" s="45"/>
      <x:c r="F17" s="45"/>
      <x:c r="G17" s="45"/>
      <x:c r="H17" s="45"/>
    </x:row>
    <x:row r="18">
      <x:c r="A18" s="45"/>
      <x:c r="B18" s="45"/>
      <x:c r="C18" s="45"/>
      <x:c r="D18" s="45"/>
      <x:c r="E18" s="45"/>
      <x:c r="F18" s="45"/>
      <x:c r="G18" s="45"/>
      <x:c r="H18" s="45"/>
    </x:row>
    <x:row r="19">
      <x:c r="A19" s="45"/>
      <x:c r="B19" s="45"/>
      <x:c r="C19" s="45"/>
      <x:c r="D19" s="45"/>
      <x:c r="E19" s="45"/>
      <x:c r="F19" s="45"/>
      <x:c r="G19" s="45"/>
      <x:c r="H19" s="45"/>
    </x:row>
    <x:row r="20">
      <x:c r="A20" s="45"/>
      <x:c r="B20" s="45"/>
      <x:c r="C20" s="45"/>
      <x:c r="D20" s="45"/>
      <x:c r="E20" s="45"/>
      <x:c r="F20" s="45"/>
      <x:c r="G20" s="45"/>
      <x:c r="H20" s="45"/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45"/>
      <x:c r="B22" s="45"/>
      <x:c r="C22" s="45"/>
      <x:c r="D22" s="45"/>
      <x:c r="E22" s="45"/>
      <x:c r="F22" s="45"/>
      <x:c r="G22" s="45"/>
      <x:c r="H22" s="45"/>
    </x:row>
    <x:row r="23">
      <x:c r="A23" s="45"/>
      <x:c r="B23" s="45"/>
      <x:c r="C23" s="45"/>
      <x:c r="D23" s="45"/>
      <x:c r="E23" s="45"/>
      <x:c r="F23" s="45"/>
      <x:c r="G23" s="45"/>
      <x:c r="H23" s="45"/>
    </x:row>
    <x:row r="24">
      <x:c r="A24" s="45"/>
      <x:c r="B24" s="45"/>
      <x:c r="C24" s="45"/>
      <x:c r="D24" s="45"/>
      <x:c r="E24" s="45"/>
      <x:c r="F24" s="45"/>
      <x:c r="G24" s="45"/>
      <x:c r="H24" s="45"/>
    </x:row>
    <x:row r="25">
      <x:c r="A25" s="45"/>
      <x:c r="B25" s="45"/>
      <x:c r="C25" s="45"/>
      <x:c r="D25" s="45"/>
      <x:c r="E25" s="45"/>
      <x:c r="F25" s="45"/>
      <x:c r="G25" s="45"/>
      <x:c r="H25" s="45"/>
    </x:row>
    <x:row r="26">
      <x:c r="A26" s="45"/>
      <x:c r="B26" s="45"/>
      <x:c r="C26" s="45"/>
      <x:c r="D26" s="45"/>
      <x:c r="E26" s="45"/>
      <x:c r="F26" s="45"/>
      <x:c r="G26" s="45"/>
      <x:c r="H26" s="45"/>
    </x:row>
    <x:row r="27">
      <x:c r="A27" s="45"/>
      <x:c r="B27" s="45"/>
      <x:c r="C27" s="45"/>
      <x:c r="D27" s="45"/>
      <x:c r="E27" s="45"/>
      <x:c r="F27" s="45"/>
      <x:c r="G27" s="45"/>
      <x:c r="H27" s="45"/>
    </x:row>
    <x:row r="28">
      <x:c r="A28" s="45"/>
      <x:c r="B28" s="45"/>
      <x:c r="C28" s="45"/>
      <x:c r="D28" s="45"/>
      <x:c r="E28" s="45"/>
      <x:c r="F28" s="45"/>
      <x:c r="G28" s="45"/>
      <x:c r="H28" s="45"/>
    </x:row>
    <x:row r="29">
      <x:c r="A29" s="45"/>
      <x:c r="B29" s="45"/>
      <x:c r="C29" s="45"/>
      <x:c r="D29" s="45"/>
      <x:c r="E29" s="45"/>
      <x:c r="F29" s="45"/>
      <x:c r="G29" s="45"/>
      <x:c r="H29" s="45"/>
    </x:row>
    <x:row r="30">
      <x:c r="A30" s="45"/>
      <x:c r="B30" s="45"/>
      <x:c r="C30" s="45"/>
      <x:c r="D30" s="45"/>
      <x:c r="E30" s="45"/>
      <x:c r="F30" s="45"/>
      <x:c r="G30" s="45"/>
      <x:c r="H30" s="45"/>
    </x:row>
  </x:sheetData>
  <x:pageMargins left="0.7" right="0.7" top="0.75" bottom="0.75" header="0.3" footer="0.3"/>
</x:worksheet>
</file>